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QCh-rWb-mgKhzisWqLuVMxpbWJ1CIMHZ\01.Contabilidade\15.Indicadores\INDICADORES CONTÁBEIS\CONTABEIS\2026\06\"/>
    </mc:Choice>
  </mc:AlternateContent>
  <xr:revisionPtr revIDLastSave="0" documentId="8_{5A48C70C-5DED-49A3-8AEF-7301C952F599}" xr6:coauthVersionLast="47" xr6:coauthVersionMax="47" xr10:uidLastSave="{00000000-0000-0000-0000-000000000000}"/>
  <bookViews>
    <workbookView xWindow="-110" yWindow="-110" windowWidth="19420" windowHeight="10300" activeTab="1" xr2:uid="{59A2A2B2-39FA-4942-89CD-0825FAD34323}"/>
  </bookViews>
  <sheets>
    <sheet name="1-Parametros" sheetId="1" r:id="rId1"/>
    <sheet name="2-Relatorio impresso somente " sheetId="2" r:id="rId2"/>
    <sheet name="3-Totalizadores" sheetId="3" r:id="rId3"/>
  </sheets>
  <definedNames>
    <definedName name="TABELABP">'2-Relatorio impresso somente '!$A$2:$J$1240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3" i="2"/>
</calcChain>
</file>

<file path=xl/sharedStrings.xml><?xml version="1.0" encoding="utf-8"?>
<sst xmlns="http://schemas.openxmlformats.org/spreadsheetml/2006/main" count="9972" uniqueCount="5740">
  <si>
    <t>Parametros</t>
  </si>
  <si>
    <t>Pergunta</t>
  </si>
  <si>
    <t>Resposta</t>
  </si>
  <si>
    <t>Pergunta 01 : Data Inicial ?</t>
  </si>
  <si>
    <t>01/06/2026</t>
  </si>
  <si>
    <t>Pergunta 02 : Data Final ?</t>
  </si>
  <si>
    <t>30/06/2026</t>
  </si>
  <si>
    <t>Pergunta 03 : Conta Inicial ?</t>
  </si>
  <si>
    <t>1</t>
  </si>
  <si>
    <t>Pergunta 04 : Conta Final ?</t>
  </si>
  <si>
    <t>51110100003</t>
  </si>
  <si>
    <t>Pergunta 05 : Imprime Contas ?</t>
  </si>
  <si>
    <t>Ambas</t>
  </si>
  <si>
    <t>Pergunta 06 : Cod. Config. Livros ?</t>
  </si>
  <si>
    <t/>
  </si>
  <si>
    <t>Pergunta 07 : Saldos Zerados ?</t>
  </si>
  <si>
    <t>Nao</t>
  </si>
  <si>
    <t>Pergunta 08 : Moeda ?</t>
  </si>
  <si>
    <t>01</t>
  </si>
  <si>
    <t>Pergunta 09 : Tipo de Saldo ?</t>
  </si>
  <si>
    <t>Pergunta 10 : Quebra ?</t>
  </si>
  <si>
    <t>Por Codigo</t>
  </si>
  <si>
    <t>Pergunta 11 : Folha Inicial ?</t>
  </si>
  <si>
    <t>Pergunta 12 : Salta linha Sintet. ?</t>
  </si>
  <si>
    <t>Sim</t>
  </si>
  <si>
    <t>Pergunta 13 : Imprime Valor "0,00" ?</t>
  </si>
  <si>
    <t>Pergunta 14 : Imprime Codigo ?</t>
  </si>
  <si>
    <t>Normal</t>
  </si>
  <si>
    <t>Pergunta 15 : Posicao Ant. L/P ?</t>
  </si>
  <si>
    <t>Pergunta 16 : Data Lucros/Perdas ?</t>
  </si>
  <si>
    <t>31/12/2025</t>
  </si>
  <si>
    <t>Pergunta 17 : Ignora Sl Ant. Rec./Depesas ?</t>
  </si>
  <si>
    <t>Pergunta 18 : Grupo Receitas/Despesas ?</t>
  </si>
  <si>
    <t>Pergunta 19 : Data Sl Ant. Rec./Despesas ?</t>
  </si>
  <si>
    <t>/  /</t>
  </si>
  <si>
    <t>Pergunta 20 : Seleciona Filiais ?</t>
  </si>
  <si>
    <t>Pergunta 21 : Imprimir ?</t>
  </si>
  <si>
    <t>Relatorio impresso somente em modo grafico</t>
  </si>
  <si>
    <t>Conta</t>
  </si>
  <si>
    <t>Descricao da Conta</t>
  </si>
  <si>
    <t>Mov. Anterior Debito</t>
  </si>
  <si>
    <t>Mov. Anterior Credito</t>
  </si>
  <si>
    <t>Mov.do Mes Debito</t>
  </si>
  <si>
    <t>Mov.do Mes Credito</t>
  </si>
  <si>
    <t>Saldo Debito</t>
  </si>
  <si>
    <t>Saldo Credito</t>
  </si>
  <si>
    <t>ATIVO</t>
  </si>
  <si>
    <t>0,00</t>
  </si>
  <si>
    <t>11.022.133,90</t>
  </si>
  <si>
    <t>11.489.550,49</t>
  </si>
  <si>
    <t>13.773.226,19</t>
  </si>
  <si>
    <t>1.1</t>
  </si>
  <si>
    <t>CIRCULANTE</t>
  </si>
  <si>
    <t>11.018.813,90</t>
  </si>
  <si>
    <t>11.474.274,84</t>
  </si>
  <si>
    <t>12.943.002,26</t>
  </si>
  <si>
    <t>1.1.1</t>
  </si>
  <si>
    <t>1.1.1.1</t>
  </si>
  <si>
    <t>DISPONIVEL</t>
  </si>
  <si>
    <t>4.101.405,43</t>
  </si>
  <si>
    <t>4.031.322,68</t>
  </si>
  <si>
    <t>83.995,01</t>
  </si>
  <si>
    <t>1.1.1.1.01</t>
  </si>
  <si>
    <t>CAIXA</t>
  </si>
  <si>
    <t>12.447,70</t>
  </si>
  <si>
    <t>1.1.1.1.01.00001</t>
  </si>
  <si>
    <t>CAIXA FUNDO FIXO</t>
  </si>
  <si>
    <t>255.784,06</t>
  </si>
  <si>
    <t>243.336,36</t>
  </si>
  <si>
    <t>1.1.1.1.02</t>
  </si>
  <si>
    <t>BANCOS CONTA MOVIMENTO</t>
  </si>
  <si>
    <t>71.547,31</t>
  </si>
  <si>
    <t>1.1.1.1.02.000001</t>
  </si>
  <si>
    <t>BANCO SANTANDER C/C13.001956-5</t>
  </si>
  <si>
    <t>190.100.117,17</t>
  </si>
  <si>
    <t>2.766.940,03</t>
  </si>
  <si>
    <t>1.1.1.1.02.000002</t>
  </si>
  <si>
    <t>BANRISUL SA  AG 0070 CC 06.098873.0-9</t>
  </si>
  <si>
    <t>884.846,21</t>
  </si>
  <si>
    <t>884.400,88</t>
  </si>
  <si>
    <t>927,00</t>
  </si>
  <si>
    <t>121,50</t>
  </si>
  <si>
    <t>1.250,83</t>
  </si>
  <si>
    <t>1.1.1.1.02.000003</t>
  </si>
  <si>
    <t>ITAU SA</t>
  </si>
  <si>
    <t>15.550.105,48</t>
  </si>
  <si>
    <t>15.549.086,25</t>
  </si>
  <si>
    <t>813.240,56</t>
  </si>
  <si>
    <t>811.488,65</t>
  </si>
  <si>
    <t>2.771,14</t>
  </si>
  <si>
    <t>1.1.1.1.02.000008</t>
  </si>
  <si>
    <t>CONTA GARANTIA SANTANDER</t>
  </si>
  <si>
    <t>6.539.735,20</t>
  </si>
  <si>
    <t>520.297,84</t>
  </si>
  <si>
    <t>452.772,50</t>
  </si>
  <si>
    <t>67.525,34</t>
  </si>
  <si>
    <t>1.1.1.2</t>
  </si>
  <si>
    <t>APLICACOES FINANCEIRAS</t>
  </si>
  <si>
    <t>992.543,31</t>
  </si>
  <si>
    <t>864.950,83</t>
  </si>
  <si>
    <t>621.730,39</t>
  </si>
  <si>
    <t>1.1.1.2.01</t>
  </si>
  <si>
    <t>608.689,63</t>
  </si>
  <si>
    <t>1.1.1.2.01.00001</t>
  </si>
  <si>
    <t>BANCO SANTANDER - FIC EMPRESAS RF REF DI</t>
  </si>
  <si>
    <t>36.249.255,54</t>
  </si>
  <si>
    <t>35.956.191,24</t>
  </si>
  <si>
    <t>286.221,31</t>
  </si>
  <si>
    <t>376,23</t>
  </si>
  <si>
    <t>578.909,38</t>
  </si>
  <si>
    <t>1.1.1.2.01.00002</t>
  </si>
  <si>
    <t>CONTAMAX EMPRESARIAL</t>
  </si>
  <si>
    <t>32.864.326,18</t>
  </si>
  <si>
    <t>32.676.293,33</t>
  </si>
  <si>
    <t>706.322,00</t>
  </si>
  <si>
    <t>864.574,60</t>
  </si>
  <si>
    <t>29.780,25</t>
  </si>
  <si>
    <t>1.1.1.2.98</t>
  </si>
  <si>
    <t>PROVISAO DE IRRF</t>
  </si>
  <si>
    <t>13.040,76</t>
  </si>
  <si>
    <t>1.1.1.2.98.00001</t>
  </si>
  <si>
    <t>90.931,77</t>
  </si>
  <si>
    <t>77.891,01</t>
  </si>
  <si>
    <t>1.1.1.3</t>
  </si>
  <si>
    <t>CLIENTES/DUPLICATAS A RECEBER</t>
  </si>
  <si>
    <t>2.434.810,52</t>
  </si>
  <si>
    <t>2.662.328,86</t>
  </si>
  <si>
    <t>4.229.260,88</t>
  </si>
  <si>
    <t>1.1.1.3.01</t>
  </si>
  <si>
    <t>DUPLICATAS A RECEBER</t>
  </si>
  <si>
    <t>1.769.721,08</t>
  </si>
  <si>
    <t>1.997.239,42</t>
  </si>
  <si>
    <t>4.240.999,23</t>
  </si>
  <si>
    <t>1.1.1.3.01.000001</t>
  </si>
  <si>
    <t>AGF IMPORTACAO, EXPORTACAO E COMERCIALIZ</t>
  </si>
  <si>
    <t>162.812,71</t>
  </si>
  <si>
    <t>157.075,45</t>
  </si>
  <si>
    <t>5.737,26</t>
  </si>
  <si>
    <t>1.1.1.3.01.000013</t>
  </si>
  <si>
    <t>LUIZ ANTONIO DE MORAES VEICULOS</t>
  </si>
  <si>
    <t>384.505,39</t>
  </si>
  <si>
    <t>375.936,06</t>
  </si>
  <si>
    <t>4.284,67</t>
  </si>
  <si>
    <t>4.284,66</t>
  </si>
  <si>
    <t>1.1.1.3.01.000017</t>
  </si>
  <si>
    <t>MECANICA MENEGHETTI</t>
  </si>
  <si>
    <t>489.010,89</t>
  </si>
  <si>
    <t>468.020,20</t>
  </si>
  <si>
    <t>17.070,74</t>
  </si>
  <si>
    <t>12.421,95</t>
  </si>
  <si>
    <t>25.639,48</t>
  </si>
  <si>
    <t>1.1.1.3.01.000024</t>
  </si>
  <si>
    <t>BUGRA FOTOGRAFIAS LTDA - ME</t>
  </si>
  <si>
    <t>150.387,89</t>
  </si>
  <si>
    <t>142.432,86</t>
  </si>
  <si>
    <t>2.209,63</t>
  </si>
  <si>
    <t>5.745,40</t>
  </si>
  <si>
    <t>1.1.1.3.01.000026</t>
  </si>
  <si>
    <t>M F DA CRUZ EIRELLI</t>
  </si>
  <si>
    <t>196.108,90</t>
  </si>
  <si>
    <t>193.625,66</t>
  </si>
  <si>
    <t>2.483,24</t>
  </si>
  <si>
    <t>1.1.1.3.01.000027</t>
  </si>
  <si>
    <t>KIKO MECANICA PESADA E EQUIP. LTDA</t>
  </si>
  <si>
    <t>65.831,48</t>
  </si>
  <si>
    <t>63.714,88</t>
  </si>
  <si>
    <t>4.093,66</t>
  </si>
  <si>
    <t>1.058,30</t>
  </si>
  <si>
    <t>5.151,96</t>
  </si>
  <si>
    <t>1.1.1.3.01.000032</t>
  </si>
  <si>
    <t>TECNOMAQUINAS LTDA</t>
  </si>
  <si>
    <t>141.439,21</t>
  </si>
  <si>
    <t>113.606,51</t>
  </si>
  <si>
    <t>143,39</t>
  </si>
  <si>
    <t>7.768,16</t>
  </si>
  <si>
    <t>20.207,93</t>
  </si>
  <si>
    <t>1.1.1.3.01.000035</t>
  </si>
  <si>
    <t>RICARDO RAMIRO PIRES</t>
  </si>
  <si>
    <t>734.656,61</t>
  </si>
  <si>
    <t>692.988,37</t>
  </si>
  <si>
    <t>13.950,00</t>
  </si>
  <si>
    <t>11.626,44</t>
  </si>
  <si>
    <t>43.991,80</t>
  </si>
  <si>
    <t>1.1.1.3.01.000039</t>
  </si>
  <si>
    <t>CONSTRUTORA SULTEPA</t>
  </si>
  <si>
    <t>45.040,80</t>
  </si>
  <si>
    <t>1.1.1.3.01.000040</t>
  </si>
  <si>
    <t>TRIMETRAL HIDRAULICA SERV LTDA</t>
  </si>
  <si>
    <t>68.322,99</t>
  </si>
  <si>
    <t>65.762,99</t>
  </si>
  <si>
    <t>1.280,00</t>
  </si>
  <si>
    <t>1.1.1.3.01.000043</t>
  </si>
  <si>
    <t>TRANSP E TERRAPL GT BERTOLINI LTDA ME</t>
  </si>
  <si>
    <t>200.501,25</t>
  </si>
  <si>
    <t>605,25</t>
  </si>
  <si>
    <t>1.1.1.3.01.000050</t>
  </si>
  <si>
    <t>GB OLEOHIDRAULICA LTDA</t>
  </si>
  <si>
    <t>826.471,56</t>
  </si>
  <si>
    <t>763.303,47</t>
  </si>
  <si>
    <t>10.063,78</t>
  </si>
  <si>
    <t>26.294,30</t>
  </si>
  <si>
    <t>46.937,57</t>
  </si>
  <si>
    <t>1.1.1.3.01.000065</t>
  </si>
  <si>
    <t>CONSTRUSINOS IND E COM LTDA</t>
  </si>
  <si>
    <t>111.248,87</t>
  </si>
  <si>
    <t>110.311,22</t>
  </si>
  <si>
    <t>883,95</t>
  </si>
  <si>
    <t>937,65</t>
  </si>
  <si>
    <t>1.1.1.3.01.000068</t>
  </si>
  <si>
    <t>MENEGAS TERRAPLANAGEM PAVIMENTACAO E IN</t>
  </si>
  <si>
    <t>63.930,19</t>
  </si>
  <si>
    <t>56.248,07</t>
  </si>
  <si>
    <t>853,40</t>
  </si>
  <si>
    <t>1.920,53</t>
  </si>
  <si>
    <t>6.614,99</t>
  </si>
  <si>
    <t>1.1.1.3.01.000069</t>
  </si>
  <si>
    <t>HIDROKRAS COM DE EQUIPTO LTDA</t>
  </si>
  <si>
    <t>345.836,23</t>
  </si>
  <si>
    <t>323.740,31</t>
  </si>
  <si>
    <t>3.266,50</t>
  </si>
  <si>
    <t>10.676,94</t>
  </si>
  <si>
    <t>14.685,48</t>
  </si>
  <si>
    <t>1.1.1.3.01.000075</t>
  </si>
  <si>
    <t>ANTONIO TIAGO BELEZIA</t>
  </si>
  <si>
    <t>185.750,59</t>
  </si>
  <si>
    <t>182.278,62</t>
  </si>
  <si>
    <t>3.471,97</t>
  </si>
  <si>
    <t>1.1.1.3.01.000107</t>
  </si>
  <si>
    <t>BIANCHETTI E MOSAK</t>
  </si>
  <si>
    <t>28.821,74</t>
  </si>
  <si>
    <t>27.316,56</t>
  </si>
  <si>
    <t>1.505,18</t>
  </si>
  <si>
    <t>1.1.1.3.01.000142</t>
  </si>
  <si>
    <t>TM TERRAPL LTDA</t>
  </si>
  <si>
    <t>34.475,73</t>
  </si>
  <si>
    <t>25.266,43</t>
  </si>
  <si>
    <t>2.203,43</t>
  </si>
  <si>
    <t>7.005,87</t>
  </si>
  <si>
    <t>1.1.1.3.01.000177</t>
  </si>
  <si>
    <t>JULIO CESAR PECAS E MAQS LTDA</t>
  </si>
  <si>
    <t>2.855.087,74</t>
  </si>
  <si>
    <t>2.882.090,91</t>
  </si>
  <si>
    <t>157.760,80</t>
  </si>
  <si>
    <t>49.107,08</t>
  </si>
  <si>
    <t>81.650,55</t>
  </si>
  <si>
    <t>1.1.1.3.01.000192</t>
  </si>
  <si>
    <t>MAURICIO DAMBROS HESSELER ME</t>
  </si>
  <si>
    <t>370.060,60</t>
  </si>
  <si>
    <t>355.074,24</t>
  </si>
  <si>
    <t>3.142,87</t>
  </si>
  <si>
    <t>10.506,69</t>
  </si>
  <si>
    <t>7.622,54</t>
  </si>
  <si>
    <t>1.1.1.3.01.000197</t>
  </si>
  <si>
    <t>DIFERENCIAL IND E COM LTDA</t>
  </si>
  <si>
    <t>542.230,09</t>
  </si>
  <si>
    <t>535.833,01</t>
  </si>
  <si>
    <t>14.086,92</t>
  </si>
  <si>
    <t>4.108,46</t>
  </si>
  <si>
    <t>16.375,54</t>
  </si>
  <si>
    <t>1.1.1.3.01.000240</t>
  </si>
  <si>
    <t>CALCARIO ANDREAZZA LTDA</t>
  </si>
  <si>
    <t>91.987,83</t>
  </si>
  <si>
    <t>1.112,13</t>
  </si>
  <si>
    <t>1.1.1.3.01.000255</t>
  </si>
  <si>
    <t>NORTE HIDRAULICA E DISTRIB. LTDA</t>
  </si>
  <si>
    <t>545.169,58</t>
  </si>
  <si>
    <t>422.595,05</t>
  </si>
  <si>
    <t>61.361,26</t>
  </si>
  <si>
    <t>42.034,19</t>
  </si>
  <si>
    <t>141.901,60</t>
  </si>
  <si>
    <t>1.1.1.3.01.000280</t>
  </si>
  <si>
    <t>GRACIELA ROSANE FISCH</t>
  </si>
  <si>
    <t>137.237,80</t>
  </si>
  <si>
    <t>134.472,15</t>
  </si>
  <si>
    <t>2.765,65</t>
  </si>
  <si>
    <t>1.1.1.3.01.000289</t>
  </si>
  <si>
    <t>J F ROST MARTINS</t>
  </si>
  <si>
    <t>103.282,54</t>
  </si>
  <si>
    <t>95.188,48</t>
  </si>
  <si>
    <t>6.510,88</t>
  </si>
  <si>
    <t>1.583,18</t>
  </si>
  <si>
    <t>1.1.1.3.01.000293</t>
  </si>
  <si>
    <t>FRANCISCO ADAO DE SOUZA</t>
  </si>
  <si>
    <t>242.410,18</t>
  </si>
  <si>
    <t>239.214,32</t>
  </si>
  <si>
    <t>233,23</t>
  </si>
  <si>
    <t>1.831,16</t>
  </si>
  <si>
    <t>1.597,93</t>
  </si>
  <si>
    <t>1.1.1.3.01.000303</t>
  </si>
  <si>
    <t>EDEN TAVARES DE SOUZA 56964897100</t>
  </si>
  <si>
    <t>89.977,36</t>
  </si>
  <si>
    <t>84.288,43</t>
  </si>
  <si>
    <t>5.688,93</t>
  </si>
  <si>
    <t>1.1.1.3.01.000312</t>
  </si>
  <si>
    <t>PAC TRATORES DE ALUGUEL LTDA</t>
  </si>
  <si>
    <t>190.569,75</t>
  </si>
  <si>
    <t>162.569,75</t>
  </si>
  <si>
    <t>9.333,33</t>
  </si>
  <si>
    <t>18.666,67</t>
  </si>
  <si>
    <t>1.1.1.3.01.000323</t>
  </si>
  <si>
    <t>MAQPECAS E SERVICOS LTDA</t>
  </si>
  <si>
    <t>10.291,15</t>
  </si>
  <si>
    <t>8.190,78</t>
  </si>
  <si>
    <t>2.100,37</t>
  </si>
  <si>
    <t>1.1.1.3.01.000326</t>
  </si>
  <si>
    <t>BRASIL PARTS PECAS PARA TRATORES LTDA</t>
  </si>
  <si>
    <t>110.355,13</t>
  </si>
  <si>
    <t>110.354,63</t>
  </si>
  <si>
    <t>434,10</t>
  </si>
  <si>
    <t>144,73</t>
  </si>
  <si>
    <t>289,87</t>
  </si>
  <si>
    <t>1.1.1.3.01.000329</t>
  </si>
  <si>
    <t>M DOS SANTOS TERRAPL LTDA</t>
  </si>
  <si>
    <t>29.493,09</t>
  </si>
  <si>
    <t>23.596,59</t>
  </si>
  <si>
    <t>2.948,25</t>
  </si>
  <si>
    <t>5.896,50</t>
  </si>
  <si>
    <t>1.1.1.3.01.000350</t>
  </si>
  <si>
    <t>MECANICA JVF LTDA ME</t>
  </si>
  <si>
    <t>558.667,22</t>
  </si>
  <si>
    <t>554.417,24</t>
  </si>
  <si>
    <t>2.599,04</t>
  </si>
  <si>
    <t>1.650,94</t>
  </si>
  <si>
    <t>1.1.1.3.01.000363</t>
  </si>
  <si>
    <t>L &amp; M PECAS P/TRATORES LTDA</t>
  </si>
  <si>
    <t>33.762,61</t>
  </si>
  <si>
    <t>33.453,61</t>
  </si>
  <si>
    <t>309,00</t>
  </si>
  <si>
    <t>1.1.1.3.01.000377</t>
  </si>
  <si>
    <t>FAYO EQUIPAMENTOS HIDRAULICOS E PNEUMATI</t>
  </si>
  <si>
    <t>31.641,08</t>
  </si>
  <si>
    <t>31.641,06</t>
  </si>
  <si>
    <t>0,02</t>
  </si>
  <si>
    <t>1.1.1.3.01.000413</t>
  </si>
  <si>
    <t>FORMAC ADM E FORNEC DE MAQ LTDA</t>
  </si>
  <si>
    <t>1.016,84</t>
  </si>
  <si>
    <t>716,84</t>
  </si>
  <si>
    <t>300,00</t>
  </si>
  <si>
    <t>1.1.1.3.01.000417</t>
  </si>
  <si>
    <t>MARCIA ELAINE DA SILVA</t>
  </si>
  <si>
    <t>61.792,62</t>
  </si>
  <si>
    <t>61.582,82</t>
  </si>
  <si>
    <t>209,80</t>
  </si>
  <si>
    <t>1.1.1.3.01.000448</t>
  </si>
  <si>
    <t>GILVAN LUIZ JAIMES DE OLIVEIRA</t>
  </si>
  <si>
    <t>1.450,00</t>
  </si>
  <si>
    <t>33.650,00</t>
  </si>
  <si>
    <t>1.1.1.3.01.000455</t>
  </si>
  <si>
    <t>AUTOMAC PECAS E SERVICOS EIRELI</t>
  </si>
  <si>
    <t>56.430,52</t>
  </si>
  <si>
    <t>55.544,13</t>
  </si>
  <si>
    <t>886,39</t>
  </si>
  <si>
    <t>1.1.1.3.01.000465</t>
  </si>
  <si>
    <t>347.030,92</t>
  </si>
  <si>
    <t>335.593,42</t>
  </si>
  <si>
    <t>6.862,50</t>
  </si>
  <si>
    <t>4.575,00</t>
  </si>
  <si>
    <t>1.1.1.3.01.000475</t>
  </si>
  <si>
    <t>MULTPECAS LTDA EPP</t>
  </si>
  <si>
    <t>120.469,00</t>
  </si>
  <si>
    <t>116.515,99</t>
  </si>
  <si>
    <t>3.953,01</t>
  </si>
  <si>
    <t>1.1.1.3.01.000485</t>
  </si>
  <si>
    <t>KUNZLER MAQUINAS LTDA</t>
  </si>
  <si>
    <t>135.462,59</t>
  </si>
  <si>
    <t>128.864,65</t>
  </si>
  <si>
    <t>1.045,66</t>
  </si>
  <si>
    <t>5.162,04</t>
  </si>
  <si>
    <t>2.481,56</t>
  </si>
  <si>
    <t>1.1.1.3.01.000495</t>
  </si>
  <si>
    <t>COMPANHIA BRASILEIRA</t>
  </si>
  <si>
    <t>20.094,50</t>
  </si>
  <si>
    <t>5.826,09</t>
  </si>
  <si>
    <t>14.268,41</t>
  </si>
  <si>
    <t>1.1.1.3.01.000501</t>
  </si>
  <si>
    <t>SUPERTRACTOR PECAS E ACESSORIOS LTDA</t>
  </si>
  <si>
    <t>19.430,06</t>
  </si>
  <si>
    <t>18.970,11</t>
  </si>
  <si>
    <t>459,95</t>
  </si>
  <si>
    <t>1.1.1.3.01.000519</t>
  </si>
  <si>
    <t>ECLAIR FREU ME</t>
  </si>
  <si>
    <t>19.309,46</t>
  </si>
  <si>
    <t>347,00</t>
  </si>
  <si>
    <t>1.1.1.3.01.000521</t>
  </si>
  <si>
    <t>VOL IMPORTS COMERCIO PCS LTDA</t>
  </si>
  <si>
    <t>523.702,52</t>
  </si>
  <si>
    <t>497.967,78</t>
  </si>
  <si>
    <t>2.981,61</t>
  </si>
  <si>
    <t>7.151,71</t>
  </si>
  <si>
    <t>21.564,64</t>
  </si>
  <si>
    <t>1.1.1.3.01.000537</t>
  </si>
  <si>
    <t>ROMERIA SILVA CERQUEIRA</t>
  </si>
  <si>
    <t>28.663,83</t>
  </si>
  <si>
    <t>28.663,84</t>
  </si>
  <si>
    <t>0,01</t>
  </si>
  <si>
    <t>1.1.1.3.01.000557</t>
  </si>
  <si>
    <t>V. DOS SANTOS VIVALDO ME</t>
  </si>
  <si>
    <t>125.346,96</t>
  </si>
  <si>
    <t>114.612,50</t>
  </si>
  <si>
    <t>2.683,62</t>
  </si>
  <si>
    <t>8.050,84</t>
  </si>
  <si>
    <t>1.1.1.3.01.000570</t>
  </si>
  <si>
    <t>JONHATAN GRIMMLER</t>
  </si>
  <si>
    <t>212.018,81</t>
  </si>
  <si>
    <t>210.311,79</t>
  </si>
  <si>
    <t>2.272,96</t>
  </si>
  <si>
    <t>565,94</t>
  </si>
  <si>
    <t>1.1.1.3.01.000594</t>
  </si>
  <si>
    <t>EDUTRACTOR PECAS PARA TRATORES LTDA</t>
  </si>
  <si>
    <t>698.355,13</t>
  </si>
  <si>
    <t>698.255,13</t>
  </si>
  <si>
    <t>100,00</t>
  </si>
  <si>
    <t>1.1.1.3.01.000638</t>
  </si>
  <si>
    <t>GS TRATOR PECAS IMP E COM LTDA</t>
  </si>
  <si>
    <t>2.712.441,58</t>
  </si>
  <si>
    <t>2.704.888,62</t>
  </si>
  <si>
    <t>7.552,96</t>
  </si>
  <si>
    <t>1.1.1.3.01.000641</t>
  </si>
  <si>
    <t>RENATA SILVA DE ALMEIDA</t>
  </si>
  <si>
    <t>137.837,22</t>
  </si>
  <si>
    <t>134.706,05</t>
  </si>
  <si>
    <t>3.024,72</t>
  </si>
  <si>
    <t>3.131,17</t>
  </si>
  <si>
    <t>1.1.1.3.01.000642</t>
  </si>
  <si>
    <t>WILLIAM PEREIRA DOS REIS BARBOSA 0160099</t>
  </si>
  <si>
    <t>231.618,25</t>
  </si>
  <si>
    <t>229.337,97</t>
  </si>
  <si>
    <t>10.300,00</t>
  </si>
  <si>
    <t>1.140,14</t>
  </si>
  <si>
    <t>11.440,14</t>
  </si>
  <si>
    <t>1.1.1.3.01.000646</t>
  </si>
  <si>
    <t>DS TRATOR PECAS IMP EXPLTDA</t>
  </si>
  <si>
    <t>1.108.576,15</t>
  </si>
  <si>
    <t>1.095.091,63</t>
  </si>
  <si>
    <t>3.114,19</t>
  </si>
  <si>
    <t>10.370,33</t>
  </si>
  <si>
    <t>1.1.1.3.01.000651</t>
  </si>
  <si>
    <t>DRENOVALE PROJETOS E SERVICOS</t>
  </si>
  <si>
    <t>74.151,12</t>
  </si>
  <si>
    <t>71.394,11</t>
  </si>
  <si>
    <t>919,00</t>
  </si>
  <si>
    <t>1.838,01</t>
  </si>
  <si>
    <t>1.1.1.3.01.000675</t>
  </si>
  <si>
    <t>VIENA EQUIPAMENTOS LTDA</t>
  </si>
  <si>
    <t>59.880,91</t>
  </si>
  <si>
    <t>59.880,93</t>
  </si>
  <si>
    <t>1.1.1.3.01.000701</t>
  </si>
  <si>
    <t>A.R. MACHADO JUNIOR</t>
  </si>
  <si>
    <t>117.086,01</t>
  </si>
  <si>
    <t>104.200,01</t>
  </si>
  <si>
    <t>3.221,50</t>
  </si>
  <si>
    <t>9.664,50</t>
  </si>
  <si>
    <t>1.1.1.3.01.000733</t>
  </si>
  <si>
    <t>SILAS AUGUSTO ALVES</t>
  </si>
  <si>
    <t>77.004,60</t>
  </si>
  <si>
    <t>67.438,93</t>
  </si>
  <si>
    <t>9.565,67</t>
  </si>
  <si>
    <t>1.1.1.3.01.000755</t>
  </si>
  <si>
    <t>TRIAMA NORTE TRATORES IMPLEMENTOS AGRICO</t>
  </si>
  <si>
    <t>5.899,71</t>
  </si>
  <si>
    <t>4.454,96</t>
  </si>
  <si>
    <t>1.444,75</t>
  </si>
  <si>
    <t>1.1.1.3.01.000760</t>
  </si>
  <si>
    <t>BRUNA DAL FORNO BERTO</t>
  </si>
  <si>
    <t>80.310,90</t>
  </si>
  <si>
    <t>70.052,88</t>
  </si>
  <si>
    <t>3.289,00</t>
  </si>
  <si>
    <t>6.969,02</t>
  </si>
  <si>
    <t>1.1.1.3.01.000773</t>
  </si>
  <si>
    <t>YURI DOMINGOS ME</t>
  </si>
  <si>
    <t>88.756,63</t>
  </si>
  <si>
    <t>82.725,27</t>
  </si>
  <si>
    <t>2.677,12</t>
  </si>
  <si>
    <t>3.354,24</t>
  </si>
  <si>
    <t>1.1.1.3.01.000780</t>
  </si>
  <si>
    <t>DANIELA VIEIRA MADRUGA</t>
  </si>
  <si>
    <t>35.972,71</t>
  </si>
  <si>
    <t>34.472,71</t>
  </si>
  <si>
    <t>1.500,00</t>
  </si>
  <si>
    <t>1.1.1.3.01.000787</t>
  </si>
  <si>
    <t>C.E.B MAQUINAS E COM E SERV LTDA</t>
  </si>
  <si>
    <t>115.506,10</t>
  </si>
  <si>
    <t>110.618,47</t>
  </si>
  <si>
    <t>1.221,91</t>
  </si>
  <si>
    <t>3.665,72</t>
  </si>
  <si>
    <t>1.1.1.3.01.000792</t>
  </si>
  <si>
    <t>RENATO RODRIGUES CAET</t>
  </si>
  <si>
    <t>21.925,20</t>
  </si>
  <si>
    <t>21.300,83</t>
  </si>
  <si>
    <t>624,37</t>
  </si>
  <si>
    <t>1.1.1.3.01.000823</t>
  </si>
  <si>
    <t>PROMAQ EQUIPAMENTOS LTDA.</t>
  </si>
  <si>
    <t>507.688,56</t>
  </si>
  <si>
    <t>507.687,96</t>
  </si>
  <si>
    <t>0,60</t>
  </si>
  <si>
    <t>1.1.1.3.01.000849</t>
  </si>
  <si>
    <t>ARSENAL COM DE PECAS LTDA</t>
  </si>
  <si>
    <t>65.537,45</t>
  </si>
  <si>
    <t>1.615,86</t>
  </si>
  <si>
    <t>1.1.1.3.01.000859</t>
  </si>
  <si>
    <t>CERMAK PEÇAS E SERVIÇOS LTDA</t>
  </si>
  <si>
    <t>59.292,26</t>
  </si>
  <si>
    <t>1.867,22</t>
  </si>
  <si>
    <t>1.1.1.3.01.000866</t>
  </si>
  <si>
    <t>BRUNA LIMA DE SIQUEIRA</t>
  </si>
  <si>
    <t>2.082.580,12</t>
  </si>
  <si>
    <t>2.070.650,14</t>
  </si>
  <si>
    <t>4.541,47</t>
  </si>
  <si>
    <t>7.879,12</t>
  </si>
  <si>
    <t>8.592,33</t>
  </si>
  <si>
    <t>1.1.1.3.01.000867</t>
  </si>
  <si>
    <t>RETROPARTS PECAS E SERV LTDA</t>
  </si>
  <si>
    <t>33.482,27</t>
  </si>
  <si>
    <t>692,47</t>
  </si>
  <si>
    <t>1.1.1.3.01.000878</t>
  </si>
  <si>
    <t>SAUL FERNANDO MARION</t>
  </si>
  <si>
    <t>11.408,06</t>
  </si>
  <si>
    <t>9.322,76</t>
  </si>
  <si>
    <t>2.085,30</t>
  </si>
  <si>
    <t>1.1.1.3.01.000882</t>
  </si>
  <si>
    <t>SERGIO LUIS DE CARVALHO</t>
  </si>
  <si>
    <t>46.409,64</t>
  </si>
  <si>
    <t>44.813,01</t>
  </si>
  <si>
    <t>1.596,63</t>
  </si>
  <si>
    <t>1.1.1.3.01.000890</t>
  </si>
  <si>
    <t>KTR GLOBAL</t>
  </si>
  <si>
    <t>1.968.775,68</t>
  </si>
  <si>
    <t>1.931.472,08</t>
  </si>
  <si>
    <t>37.303,60</t>
  </si>
  <si>
    <t>1.1.1.3.01.000909</t>
  </si>
  <si>
    <t>PAULO HENRIQUE ALVES</t>
  </si>
  <si>
    <t>3.560.791,37</t>
  </si>
  <si>
    <t>3.560.791,36</t>
  </si>
  <si>
    <t>1.1.1.3.01.000959</t>
  </si>
  <si>
    <t>ITALPRATES COMERCIO E IMPORTACAO DE PECA</t>
  </si>
  <si>
    <t>67.843,75</t>
  </si>
  <si>
    <t>64.343,75</t>
  </si>
  <si>
    <t>3.500,00</t>
  </si>
  <si>
    <t>1.1.1.3.01.000980</t>
  </si>
  <si>
    <t>CARLA TERESINHA WAGNER</t>
  </si>
  <si>
    <t>90.445,33</t>
  </si>
  <si>
    <t>89.209,21</t>
  </si>
  <si>
    <t>1.236,12</t>
  </si>
  <si>
    <t>1.1.1.3.01.001000</t>
  </si>
  <si>
    <t>MURILO BERTIN MANUTENCOES</t>
  </si>
  <si>
    <t>182.767,44</t>
  </si>
  <si>
    <t>159.502,93</t>
  </si>
  <si>
    <t>5.016,92</t>
  </si>
  <si>
    <t>18.247,59</t>
  </si>
  <si>
    <t>1.1.1.3.01.001021</t>
  </si>
  <si>
    <t>RAFAEL RAMOS NOGUEIRA</t>
  </si>
  <si>
    <t>140.431,18</t>
  </si>
  <si>
    <t>139.796,70</t>
  </si>
  <si>
    <t>634,48</t>
  </si>
  <si>
    <t>1.1.1.3.01.001027</t>
  </si>
  <si>
    <t>ASSIS TRACTOR COMERCIO DE PECAS E ACESSO</t>
  </si>
  <si>
    <t>43.431,00</t>
  </si>
  <si>
    <t>27.649,84</t>
  </si>
  <si>
    <t>6.281,16</t>
  </si>
  <si>
    <t>9.500,00</t>
  </si>
  <si>
    <t>1.1.1.3.01.001043</t>
  </si>
  <si>
    <t>J P MANUTENCAO DE EQUIPAMENTOS LTDA</t>
  </si>
  <si>
    <t>8.360,62</t>
  </si>
  <si>
    <t>8.360,63</t>
  </si>
  <si>
    <t>1.1.1.3.01.001056</t>
  </si>
  <si>
    <t>MARIA ESTELA DE OLIVEIRA</t>
  </si>
  <si>
    <t>200.017,38</t>
  </si>
  <si>
    <t>192.432,83</t>
  </si>
  <si>
    <t>7.584,55</t>
  </si>
  <si>
    <t>1.1.1.3.01.001078</t>
  </si>
  <si>
    <t>MDS MAQUINAS PARA CONSTRUCAO</t>
  </si>
  <si>
    <t>735.633,45</t>
  </si>
  <si>
    <t>710.633,46</t>
  </si>
  <si>
    <t>6.250,00</t>
  </si>
  <si>
    <t>18.749,99</t>
  </si>
  <si>
    <t>1.1.1.3.01.001094</t>
  </si>
  <si>
    <t>HIMEP COM PECAS HIDRAULICAS LTDA</t>
  </si>
  <si>
    <t>263,14</t>
  </si>
  <si>
    <t>14.090,65</t>
  </si>
  <si>
    <t>1.1.1.3.01.001107</t>
  </si>
  <si>
    <t>ROBSON JARDEL KERBAUS</t>
  </si>
  <si>
    <t>169.395,64</t>
  </si>
  <si>
    <t>36.372,26</t>
  </si>
  <si>
    <t>1.1.1.3.01.001117</t>
  </si>
  <si>
    <t>SERGIO LUIZ DA VEIGA FILHO</t>
  </si>
  <si>
    <t>1.190,97</t>
  </si>
  <si>
    <t>1.190,98</t>
  </si>
  <si>
    <t>1.1.1.3.01.001140</t>
  </si>
  <si>
    <t>BOSA ENGENHARIA LTDA</t>
  </si>
  <si>
    <t>31.042,68</t>
  </si>
  <si>
    <t>30.942,68</t>
  </si>
  <si>
    <t>1.1.1.3.01.001177</t>
  </si>
  <si>
    <t>COMERCIAL PORTAL DAS PECAS EIRELI</t>
  </si>
  <si>
    <t>299.622,72</t>
  </si>
  <si>
    <t>251.623,28</t>
  </si>
  <si>
    <t>7.500,00</t>
  </si>
  <si>
    <t>27.039,00</t>
  </si>
  <si>
    <t>28.460,44</t>
  </si>
  <si>
    <t>1.1.1.3.01.001190</t>
  </si>
  <si>
    <t>MAQHYDRAULICS PECAS E SERVICOS</t>
  </si>
  <si>
    <t>224.594,04</t>
  </si>
  <si>
    <t>167.491,14</t>
  </si>
  <si>
    <t>10.070,35</t>
  </si>
  <si>
    <t>16.328,44</t>
  </si>
  <si>
    <t>50.844,81</t>
  </si>
  <si>
    <t>1.1.1.3.01.001200</t>
  </si>
  <si>
    <t>EURO 5 LTDA</t>
  </si>
  <si>
    <t>138.495,61</t>
  </si>
  <si>
    <t>127.246,16</t>
  </si>
  <si>
    <t>11.249,45</t>
  </si>
  <si>
    <t>1.1.1.3.01.001221</t>
  </si>
  <si>
    <t>PAVONI TRATORPECAS COMERCIO, IMPORTACAO</t>
  </si>
  <si>
    <t>268.812,21</t>
  </si>
  <si>
    <t>268.110,71</t>
  </si>
  <si>
    <t>701,50</t>
  </si>
  <si>
    <t>1.1.1.3.01.001230</t>
  </si>
  <si>
    <t>BRASIL HIDRAULICOS EIRELI</t>
  </si>
  <si>
    <t>127.868,14</t>
  </si>
  <si>
    <t>121.756,99</t>
  </si>
  <si>
    <t>830,00</t>
  </si>
  <si>
    <t>1.527,79</t>
  </si>
  <si>
    <t>5.413,36</t>
  </si>
  <si>
    <t>1.1.1.3.01.001236</t>
  </si>
  <si>
    <t>MULT TRACTOR E CIA LTDA</t>
  </si>
  <si>
    <t>56.773,15</t>
  </si>
  <si>
    <t>56.773,16</t>
  </si>
  <si>
    <t>1.1.1.3.01.001240</t>
  </si>
  <si>
    <t>VEDAPRESS VEDACOES PECAS E SERVICOS EIRE</t>
  </si>
  <si>
    <t>125.757,39</t>
  </si>
  <si>
    <t>118.923,63</t>
  </si>
  <si>
    <t>6.833,76</t>
  </si>
  <si>
    <t>1.1.1.3.01.001244</t>
  </si>
  <si>
    <t>CLOVIS LOBATO DOS SANTOS 16617495268</t>
  </si>
  <si>
    <t>18.870,82</t>
  </si>
  <si>
    <t>18.870,83</t>
  </si>
  <si>
    <t>1.1.1.3.01.001248</t>
  </si>
  <si>
    <t>ARNALDO S ECKERT</t>
  </si>
  <si>
    <t>25.689,32</t>
  </si>
  <si>
    <t>25.189,32</t>
  </si>
  <si>
    <t>500,00</t>
  </si>
  <si>
    <t>1.1.1.3.01.001254</t>
  </si>
  <si>
    <t>GS EMPREENDIMENTOS LOCACAO E TERRAPLENAG</t>
  </si>
  <si>
    <t>196.961,89</t>
  </si>
  <si>
    <t>196.961,87</t>
  </si>
  <si>
    <t>1.1.1.3.01.001278</t>
  </si>
  <si>
    <t>TERRAFACIL SERVICOS</t>
  </si>
  <si>
    <t>199.930,62</t>
  </si>
  <si>
    <t>180.614,28</t>
  </si>
  <si>
    <t>17.658,17</t>
  </si>
  <si>
    <t>1.658,17</t>
  </si>
  <si>
    <t>1.1.1.3.01.001280</t>
  </si>
  <si>
    <t>CRISTIANE PINTO VELLEDA</t>
  </si>
  <si>
    <t>2.141,76</t>
  </si>
  <si>
    <t>554,09</t>
  </si>
  <si>
    <t>1.1.1.3.01.001287</t>
  </si>
  <si>
    <t>BORTOTTI BERGAMO TRASPORTES E LOGIST</t>
  </si>
  <si>
    <t>5.171,76</t>
  </si>
  <si>
    <t>20.300,00</t>
  </si>
  <si>
    <t>11.500,00</t>
  </si>
  <si>
    <t>8.800,00</t>
  </si>
  <si>
    <t>1.1.1.3.01.001294</t>
  </si>
  <si>
    <t>MECANICA GLOBAL G7 LTDA</t>
  </si>
  <si>
    <t>84.772,15</t>
  </si>
  <si>
    <t>83.306,24</t>
  </si>
  <si>
    <t>4.635,30</t>
  </si>
  <si>
    <t>2.025,48</t>
  </si>
  <si>
    <t>4.075,73</t>
  </si>
  <si>
    <t>1.1.1.3.01.001309</t>
  </si>
  <si>
    <t>ZOCAR RIO CAMINHOES LTDA</t>
  </si>
  <si>
    <t>167.571,36</t>
  </si>
  <si>
    <t>5.507,02</t>
  </si>
  <si>
    <t>1.1.1.3.01.001319</t>
  </si>
  <si>
    <t>CATARINA TRUCK CENTER EIRELI</t>
  </si>
  <si>
    <t>129.857,00</t>
  </si>
  <si>
    <t>129.857,01</t>
  </si>
  <si>
    <t>1.1.1.3.01.001325</t>
  </si>
  <si>
    <t>C. O. DE SOUZA - PECAS PARA MAQUINAS PES</t>
  </si>
  <si>
    <t>18.345,87</t>
  </si>
  <si>
    <t>17.950,87</t>
  </si>
  <si>
    <t>1.015,40</t>
  </si>
  <si>
    <t>1.410,40</t>
  </si>
  <si>
    <t>1.1.1.3.01.001328</t>
  </si>
  <si>
    <t>TRATORMASTER COMERCIO DE PECAS LTDA</t>
  </si>
  <si>
    <t>209.788,59</t>
  </si>
  <si>
    <t>188.567,07</t>
  </si>
  <si>
    <t>16.747,68</t>
  </si>
  <si>
    <t>10.610,76</t>
  </si>
  <si>
    <t>27.358,44</t>
  </si>
  <si>
    <t>1.1.1.3.01.001330</t>
  </si>
  <si>
    <t>DANFER COMERCIO E EQUIPAMENTOS LTDA</t>
  </si>
  <si>
    <t>110.276,24</t>
  </si>
  <si>
    <t>11.929,97</t>
  </si>
  <si>
    <t>1.1.1.3.01.001353</t>
  </si>
  <si>
    <t>RIGON &amp; CIA LTDA</t>
  </si>
  <si>
    <t>752.255,39</t>
  </si>
  <si>
    <t>749.775,83</t>
  </si>
  <si>
    <t>1.758,02</t>
  </si>
  <si>
    <t>721,54</t>
  </si>
  <si>
    <t>1.1.1.3.01.001391</t>
  </si>
  <si>
    <t>CSB SERVICOS DE TERRAPLANAGEM LTDA</t>
  </si>
  <si>
    <t>5.269,90</t>
  </si>
  <si>
    <t>5.139,90</t>
  </si>
  <si>
    <t>130,00</t>
  </si>
  <si>
    <t>1.1.1.3.01.001400</t>
  </si>
  <si>
    <t>PAVIMAQUINAS COMERCIO DE PECAS E SERVICO</t>
  </si>
  <si>
    <t>41.431,78</t>
  </si>
  <si>
    <t>38.910,00</t>
  </si>
  <si>
    <t>6.783,97</t>
  </si>
  <si>
    <t>1.260,89</t>
  </si>
  <si>
    <t>8.044,86</t>
  </si>
  <si>
    <t>1.1.1.3.01.001404</t>
  </si>
  <si>
    <t>GRA ASSESORIA E CONS EIRELI</t>
  </si>
  <si>
    <t>109.329,65</t>
  </si>
  <si>
    <t>96.228,96</t>
  </si>
  <si>
    <t>4.594,38</t>
  </si>
  <si>
    <t>8.506,31</t>
  </si>
  <si>
    <t>1.1.1.3.01.001423</t>
  </si>
  <si>
    <t>GIZELE NASCIMENTO SILVA 33161269888</t>
  </si>
  <si>
    <t>14.194,91</t>
  </si>
  <si>
    <t>13.901,56</t>
  </si>
  <si>
    <t>293,35</t>
  </si>
  <si>
    <t>1.1.1.3.01.001424</t>
  </si>
  <si>
    <t>TRATOL TRATORES PECAS E SERVICOS LTDA</t>
  </si>
  <si>
    <t>45.700,00</t>
  </si>
  <si>
    <t>20.600,00</t>
  </si>
  <si>
    <t>6.275,00</t>
  </si>
  <si>
    <t>18.825,00</t>
  </si>
  <si>
    <t>1.1.1.3.01.001435</t>
  </si>
  <si>
    <t>EXTRACOL PECAS E MANUTENCOES LTDA</t>
  </si>
  <si>
    <t>203.033,95</t>
  </si>
  <si>
    <t>192.956,38</t>
  </si>
  <si>
    <t>3.363,52</t>
  </si>
  <si>
    <t>6.714,05</t>
  </si>
  <si>
    <t>1.1.1.3.01.001443</t>
  </si>
  <si>
    <t>C R ALVES DISTRIBUIDORA DE MATERIAIS DE</t>
  </si>
  <si>
    <t>9.630,21</t>
  </si>
  <si>
    <t>25.377,50</t>
  </si>
  <si>
    <t>1.1.1.3.01.001469</t>
  </si>
  <si>
    <t>OLITRACTOR IMPORTACAO E EXPORTACAO LTDA</t>
  </si>
  <si>
    <t>1.219.674,70</t>
  </si>
  <si>
    <t>1.195.259,56</t>
  </si>
  <si>
    <t>13.173,48</t>
  </si>
  <si>
    <t>9.803,63</t>
  </si>
  <si>
    <t>27.784,99</t>
  </si>
  <si>
    <t>1.1.1.3.01.001489</t>
  </si>
  <si>
    <t>AVENIR EIRELI</t>
  </si>
  <si>
    <t>137.214,63</t>
  </si>
  <si>
    <t>137.012,40</t>
  </si>
  <si>
    <t>18.293,42</t>
  </si>
  <si>
    <t>202,23</t>
  </si>
  <si>
    <t>1.1.1.3.01.001512</t>
  </si>
  <si>
    <t>ANTONIO CARLOS DE OLIVEIRA 99473070187</t>
  </si>
  <si>
    <t>44.075,00</t>
  </si>
  <si>
    <t>41.200,00</t>
  </si>
  <si>
    <t>2.875,00</t>
  </si>
  <si>
    <t>1.1.1.3.01.001526</t>
  </si>
  <si>
    <t>G B COMERCIO DE PECAS LTDA</t>
  </si>
  <si>
    <t>16.603,07</t>
  </si>
  <si>
    <t>9.991,55</t>
  </si>
  <si>
    <t>1.1.1.3.01.001531</t>
  </si>
  <si>
    <t>MARAVIMAQUINAS IMPORTACAO E COMERCIO DE</t>
  </si>
  <si>
    <t>227.549,81</t>
  </si>
  <si>
    <t>217.012,72</t>
  </si>
  <si>
    <t>10.537,09</t>
  </si>
  <si>
    <t>1.1.1.3.01.001533</t>
  </si>
  <si>
    <t>CONSTRUTORA PELOTENSE LTDA</t>
  </si>
  <si>
    <t>91.144,53</t>
  </si>
  <si>
    <t>831,14</t>
  </si>
  <si>
    <t>1.1.1.3.01.001548</t>
  </si>
  <si>
    <t>V-MAQ LTDA</t>
  </si>
  <si>
    <t>331.785,56</t>
  </si>
  <si>
    <t>322.811,95</t>
  </si>
  <si>
    <t>11.522,48</t>
  </si>
  <si>
    <t>2.243,40</t>
  </si>
  <si>
    <t>18.252,69</t>
  </si>
  <si>
    <t>1.1.1.3.01.001556</t>
  </si>
  <si>
    <t>3A COMERCIO DE PECAS E SERVICOS LTDA</t>
  </si>
  <si>
    <t>22.073,01</t>
  </si>
  <si>
    <t>21.404,32</t>
  </si>
  <si>
    <t>668,69</t>
  </si>
  <si>
    <t>1.1.1.3.01.001569</t>
  </si>
  <si>
    <t>COESUL-CONSTRUTORA EXTREMO SUL LTDA</t>
  </si>
  <si>
    <t>256.450,76</t>
  </si>
  <si>
    <t>255.735,41</t>
  </si>
  <si>
    <t>3.668,49</t>
  </si>
  <si>
    <t>4.383,84</t>
  </si>
  <si>
    <t>1.1.1.3.01.001570</t>
  </si>
  <si>
    <t>MSB COMERCIO DE PECAS EIRELI</t>
  </si>
  <si>
    <t>119.418,48</t>
  </si>
  <si>
    <t>114.203,73</t>
  </si>
  <si>
    <t>8.883,31</t>
  </si>
  <si>
    <t>1.797,29</t>
  </si>
  <si>
    <t>12.300,77</t>
  </si>
  <si>
    <t>1.1.1.3.01.001606</t>
  </si>
  <si>
    <t>EGS IMP E COM DE PECAS HIDRAULICAS LTDA</t>
  </si>
  <si>
    <t>179.694,70</t>
  </si>
  <si>
    <t>172.026,01</t>
  </si>
  <si>
    <t>2.317,14</t>
  </si>
  <si>
    <t>5.351,55</t>
  </si>
  <si>
    <t>1.1.1.3.01.001648</t>
  </si>
  <si>
    <t>MINERACAO SANTA MARIA LTDA</t>
  </si>
  <si>
    <t>122,16</t>
  </si>
  <si>
    <t>20.200,00</t>
  </si>
  <si>
    <t>10.200,00</t>
  </si>
  <si>
    <t>10.000,00</t>
  </si>
  <si>
    <t>1.1.1.3.01.001656</t>
  </si>
  <si>
    <t>ECO FORTE BIOENERGIA LTDA</t>
  </si>
  <si>
    <t>90.270,24</t>
  </si>
  <si>
    <t>90.270,25</t>
  </si>
  <si>
    <t>1.1.1.3.01.001658</t>
  </si>
  <si>
    <t>ENGSERV - SER V E LOC DE MAQ E EQUIP LTDA</t>
  </si>
  <si>
    <t>21.815,78</t>
  </si>
  <si>
    <t>21.450,00</t>
  </si>
  <si>
    <t>365,78</t>
  </si>
  <si>
    <t>1.1.1.3.01.001673</t>
  </si>
  <si>
    <t>CHROME SERVICE TECNOLOGIA EM RECUPERACAO</t>
  </si>
  <si>
    <t>38.139,98</t>
  </si>
  <si>
    <t>6.788,52</t>
  </si>
  <si>
    <t>1.1.1.3.01.001712</t>
  </si>
  <si>
    <t>GS2 SOLUCOES EM PECAS IMP COM SERV LTDA</t>
  </si>
  <si>
    <t>1.004.759,19</t>
  </si>
  <si>
    <t>1.001.592,52</t>
  </si>
  <si>
    <t>25.504,57</t>
  </si>
  <si>
    <t>3.166,67</t>
  </si>
  <si>
    <t>1.1.1.3.01.001729</t>
  </si>
  <si>
    <t>ALTA PRESSAO SISTEMAS HIDRUALICOS</t>
  </si>
  <si>
    <t>153.128,34</t>
  </si>
  <si>
    <t>125.818,70</t>
  </si>
  <si>
    <t>9.103,21</t>
  </si>
  <si>
    <t>18.206,43</t>
  </si>
  <si>
    <t>1.1.1.3.01.001738</t>
  </si>
  <si>
    <t>MECANICA AUTOPECAS TRENTIN LTDA</t>
  </si>
  <si>
    <t>10.419,25</t>
  </si>
  <si>
    <t>3.887,33</t>
  </si>
  <si>
    <t>1.1.1.3.01.001751</t>
  </si>
  <si>
    <t>DS2 SOLUCOES EM PECAS IMPORTACAO COMERCI</t>
  </si>
  <si>
    <t>2.648.957,07</t>
  </si>
  <si>
    <t>2.638.892,07</t>
  </si>
  <si>
    <t>10.065,00</t>
  </si>
  <si>
    <t>1.1.1.3.01.001788</t>
  </si>
  <si>
    <t>HERON DO BRASIL LTDA</t>
  </si>
  <si>
    <t>3.951,05</t>
  </si>
  <si>
    <t>3.720,40</t>
  </si>
  <si>
    <t>3.479,54</t>
  </si>
  <si>
    <t>230,65</t>
  </si>
  <si>
    <t>1.1.1.3.01.001831</t>
  </si>
  <si>
    <t>VEDACIL COMPONENTES</t>
  </si>
  <si>
    <t>74.047,84</t>
  </si>
  <si>
    <t>44.744,18</t>
  </si>
  <si>
    <t>15.150,00</t>
  </si>
  <si>
    <t>21.822,90</t>
  </si>
  <si>
    <t>22.630,76</t>
  </si>
  <si>
    <t>1.1.1.3.01.001847</t>
  </si>
  <si>
    <t>A. FREITAS RODRIGUES LIMITADA</t>
  </si>
  <si>
    <t>63.822,54</t>
  </si>
  <si>
    <t>2.869,84</t>
  </si>
  <si>
    <t>1.1.1.3.01.001850</t>
  </si>
  <si>
    <t>CARLOS EDUARDO MARCELLOS</t>
  </si>
  <si>
    <t>84.206,84</t>
  </si>
  <si>
    <t>75.456,84</t>
  </si>
  <si>
    <t>8.750,00</t>
  </si>
  <si>
    <t>1.1.1.3.01.001864</t>
  </si>
  <si>
    <t>HIDRAUMEC PECAS E SERVICOS</t>
  </si>
  <si>
    <t>778.089,31</t>
  </si>
  <si>
    <t>772.493,95</t>
  </si>
  <si>
    <t>2.058,36</t>
  </si>
  <si>
    <t>3.537,00</t>
  </si>
  <si>
    <t>1.1.1.3.01.001865</t>
  </si>
  <si>
    <t>GERAL HIDRAULICA VEND</t>
  </si>
  <si>
    <t>187.582,28</t>
  </si>
  <si>
    <t>186.504,28</t>
  </si>
  <si>
    <t>718,66</t>
  </si>
  <si>
    <t>359,34</t>
  </si>
  <si>
    <t>1.1.1.3.01.001884</t>
  </si>
  <si>
    <t>JOSE CARLOS M DE QUADROS &amp; CIA LTDA</t>
  </si>
  <si>
    <t>7.119,99</t>
  </si>
  <si>
    <t>7.120,00</t>
  </si>
  <si>
    <t>1.1.1.3.01.001927</t>
  </si>
  <si>
    <t>ISAM MAQUINAS DE CONSTRUCAO</t>
  </si>
  <si>
    <t>11.722,89</t>
  </si>
  <si>
    <t>13.609,75</t>
  </si>
  <si>
    <t>1.1.1.3.01.001933</t>
  </si>
  <si>
    <t>JULIANA SANTIAGO LIMA DA SILVA 000361243</t>
  </si>
  <si>
    <t>9.125,60</t>
  </si>
  <si>
    <t>9.126,22</t>
  </si>
  <si>
    <t>0,62</t>
  </si>
  <si>
    <t>1.1.1.3.01.001941</t>
  </si>
  <si>
    <t>HIDRAULICA PINHEIRINHO LTDA</t>
  </si>
  <si>
    <t>5.823,97</t>
  </si>
  <si>
    <t>1.790,58</t>
  </si>
  <si>
    <t>4.033,39</t>
  </si>
  <si>
    <t>1.1.1.3.01.001964</t>
  </si>
  <si>
    <t>BUENO &amp; OLIVEIRA COMERCIO DE PECAS E SER</t>
  </si>
  <si>
    <t>135.352,57</t>
  </si>
  <si>
    <t>131.154,33</t>
  </si>
  <si>
    <t>2.099,13</t>
  </si>
  <si>
    <t>2.099,11</t>
  </si>
  <si>
    <t>1.1.1.3.01.001966</t>
  </si>
  <si>
    <t>SEU TRATOR LTDA</t>
  </si>
  <si>
    <t>1.012.939,89</t>
  </si>
  <si>
    <t>973.404,07</t>
  </si>
  <si>
    <t>39.535,82</t>
  </si>
  <si>
    <t>1.1.1.3.01.001968</t>
  </si>
  <si>
    <t>ERIC DA SILVA MUNHOZ</t>
  </si>
  <si>
    <t>18.947,17</t>
  </si>
  <si>
    <t>18.947,18</t>
  </si>
  <si>
    <t>1.1.1.3.01.001971</t>
  </si>
  <si>
    <t>JC MARTINS TERRAPLANAGEM LTDA</t>
  </si>
  <si>
    <t>42.990,00</t>
  </si>
  <si>
    <t>30.997,50</t>
  </si>
  <si>
    <t>11.992,50</t>
  </si>
  <si>
    <t>1.1.1.3.01.001996</t>
  </si>
  <si>
    <t>JERONIMO ELIAS LOPES</t>
  </si>
  <si>
    <t>83.704,82</t>
  </si>
  <si>
    <t>83.504,82</t>
  </si>
  <si>
    <t>200,00</t>
  </si>
  <si>
    <t>1.1.1.3.01.001997</t>
  </si>
  <si>
    <t>PASSARELA COMERCIO PLANEJAMENTO</t>
  </si>
  <si>
    <t>34.538,53</t>
  </si>
  <si>
    <t>25.806,90</t>
  </si>
  <si>
    <t>8.731,63</t>
  </si>
  <si>
    <t>1.1.1.3.01.002010</t>
  </si>
  <si>
    <t>G. R. TRATORES COMERCIO DE PECAS E SERVI</t>
  </si>
  <si>
    <t>89.844,79</t>
  </si>
  <si>
    <t>85.248,45</t>
  </si>
  <si>
    <t>490,00</t>
  </si>
  <si>
    <t>2.571,34</t>
  </si>
  <si>
    <t>2.515,00</t>
  </si>
  <si>
    <t>1.1.1.3.01.002016</t>
  </si>
  <si>
    <t>EMPREITEIRA FLORESTAL E. E L. DOS SANTOS</t>
  </si>
  <si>
    <t>5.928,07</t>
  </si>
  <si>
    <t>4.815,92</t>
  </si>
  <si>
    <t>1.112,15</t>
  </si>
  <si>
    <t>1.1.1.3.01.002049</t>
  </si>
  <si>
    <t>MAQUIPESA SERVICOS E LOCACOES LTDA</t>
  </si>
  <si>
    <t>817.969,15</t>
  </si>
  <si>
    <t>747.459,46</t>
  </si>
  <si>
    <t>37.777,37</t>
  </si>
  <si>
    <t>25.918,70</t>
  </si>
  <si>
    <t>82.368,36</t>
  </si>
  <si>
    <t>1.1.1.3.01.002062</t>
  </si>
  <si>
    <t>TERRAPLENAGEM KLEIN LTDA</t>
  </si>
  <si>
    <t>45.959,39</t>
  </si>
  <si>
    <t>35.559,39</t>
  </si>
  <si>
    <t>2.600,00</t>
  </si>
  <si>
    <t>7.800,00</t>
  </si>
  <si>
    <t>1.1.1.3.01.002068</t>
  </si>
  <si>
    <t>VENTURA &amp; VENTURA TRATORES LTDA</t>
  </si>
  <si>
    <t>62.846,69</t>
  </si>
  <si>
    <t>60.529,18</t>
  </si>
  <si>
    <t>579,38</t>
  </si>
  <si>
    <t>1.738,13</t>
  </si>
  <si>
    <t>1.1.1.3.01.002073</t>
  </si>
  <si>
    <t>MARCELO CESAR SILVESTRE 79315275691</t>
  </si>
  <si>
    <t>790.916,21</t>
  </si>
  <si>
    <t>733.396,71</t>
  </si>
  <si>
    <t>5.445,81</t>
  </si>
  <si>
    <t>23.813,47</t>
  </si>
  <si>
    <t>39.151,84</t>
  </si>
  <si>
    <t>1.1.1.3.01.002080</t>
  </si>
  <si>
    <t>TERRAPLANETA MAQUINAS E SERVICOS LTDA</t>
  </si>
  <si>
    <t>9.085,52</t>
  </si>
  <si>
    <t>8.735,52</t>
  </si>
  <si>
    <t>350,00</t>
  </si>
  <si>
    <t>1.1.1.3.01.002088</t>
  </si>
  <si>
    <t>CONSTRUTORA NOBREGA</t>
  </si>
  <si>
    <t>17.078,00</t>
  </si>
  <si>
    <t>16.578,00</t>
  </si>
  <si>
    <t>1.1.1.3.01.002093</t>
  </si>
  <si>
    <t>SILVANEY TRAMES</t>
  </si>
  <si>
    <t>12.888,78</t>
  </si>
  <si>
    <t>12.262,12</t>
  </si>
  <si>
    <t>626,66</t>
  </si>
  <si>
    <t>1.1.1.3.01.002129</t>
  </si>
  <si>
    <t>EDF HIDRAULICA</t>
  </si>
  <si>
    <t>56.419,83</t>
  </si>
  <si>
    <t>2.287,56</t>
  </si>
  <si>
    <t>1.1.1.3.01.002135</t>
  </si>
  <si>
    <t>L. W. FERREIRA DOS SA</t>
  </si>
  <si>
    <t>102.795,96</t>
  </si>
  <si>
    <t>98.708,80</t>
  </si>
  <si>
    <t>1.763,37</t>
  </si>
  <si>
    <t>2.323,79</t>
  </si>
  <si>
    <t>1.1.1.3.01.002138</t>
  </si>
  <si>
    <t>LYON COMERCIO DE PECAS</t>
  </si>
  <si>
    <t>64.983,33</t>
  </si>
  <si>
    <t>58.658,94</t>
  </si>
  <si>
    <t>3.162,20</t>
  </si>
  <si>
    <t>3.162,19</t>
  </si>
  <si>
    <t>1.1.1.3.01.002149</t>
  </si>
  <si>
    <t>VOLMASTER MAQUINAS E EQUIPAMENTOS</t>
  </si>
  <si>
    <t>83.423,11</t>
  </si>
  <si>
    <t>68.710,70</t>
  </si>
  <si>
    <t>11.900,00</t>
  </si>
  <si>
    <t>5.712,41</t>
  </si>
  <si>
    <t>20.900,00</t>
  </si>
  <si>
    <t>1.1.1.3.01.002156</t>
  </si>
  <si>
    <t>TOP STAR PEÇAS</t>
  </si>
  <si>
    <t>87.120,39</t>
  </si>
  <si>
    <t>1.832,60</t>
  </si>
  <si>
    <t>916,30</t>
  </si>
  <si>
    <t>1.1.1.3.01.002157</t>
  </si>
  <si>
    <t>W.M DUARTE MARTINES LTDA</t>
  </si>
  <si>
    <t>282.663,35</t>
  </si>
  <si>
    <t>227.400,46</t>
  </si>
  <si>
    <t>20.000,00</t>
  </si>
  <si>
    <t>35.262,89</t>
  </si>
  <si>
    <t>1.1.1.3.01.002161</t>
  </si>
  <si>
    <t>LOCAMAQ LOCAÇÃO</t>
  </si>
  <si>
    <t>65.216,32</t>
  </si>
  <si>
    <t>64.848,42</t>
  </si>
  <si>
    <t>303,33</t>
  </si>
  <si>
    <t>367,90</t>
  </si>
  <si>
    <t>1.1.1.3.01.002165</t>
  </si>
  <si>
    <t>SAO LAZARO ENGENHARIA E CONSULTORIA</t>
  </si>
  <si>
    <t>53.150,00</t>
  </si>
  <si>
    <t>51.900,00</t>
  </si>
  <si>
    <t>1.250,00</t>
  </si>
  <si>
    <t>1.1.1.3.01.002213</t>
  </si>
  <si>
    <t>TRATORBEL COMERCIO</t>
  </si>
  <si>
    <t>72.585,72</t>
  </si>
  <si>
    <t>8.868,36</t>
  </si>
  <si>
    <t>1.1.1.3.01.002214</t>
  </si>
  <si>
    <t>CARVALHO PECAS</t>
  </si>
  <si>
    <t>36.457,39</t>
  </si>
  <si>
    <t>15.458,19</t>
  </si>
  <si>
    <t>20.999,20</t>
  </si>
  <si>
    <t>1.1.1.3.01.002226</t>
  </si>
  <si>
    <t>INVICTA ENGENHARIA E CONSTRUCOES LTDA</t>
  </si>
  <si>
    <t>450,00</t>
  </si>
  <si>
    <t>15.000,00</t>
  </si>
  <si>
    <t>6.000,00</t>
  </si>
  <si>
    <t>9.000,00</t>
  </si>
  <si>
    <t>1.1.1.3.01.002273</t>
  </si>
  <si>
    <t>RCTS COMERCIAL</t>
  </si>
  <si>
    <t>19.010,53</t>
  </si>
  <si>
    <t>18.000,00</t>
  </si>
  <si>
    <t>1.010,53</t>
  </si>
  <si>
    <t>1.1.1.3.01.002285</t>
  </si>
  <si>
    <t>REINALDO LOPES</t>
  </si>
  <si>
    <t>5.664,03</t>
  </si>
  <si>
    <t>1.1.1.3.01.002299</t>
  </si>
  <si>
    <t>HIDRAUMONTES RECUPERACAO</t>
  </si>
  <si>
    <t>22.235,22</t>
  </si>
  <si>
    <t>999,00</t>
  </si>
  <si>
    <t>1.1.1.3.01.002336</t>
  </si>
  <si>
    <t>MARCIO PASINI BOLZAN</t>
  </si>
  <si>
    <t>42.087,33</t>
  </si>
  <si>
    <t>40.587,33</t>
  </si>
  <si>
    <t>1.1.1.3.01.002340</t>
  </si>
  <si>
    <t>EXATTA TRATORES</t>
  </si>
  <si>
    <t>36.500,00</t>
  </si>
  <si>
    <t>32.333,34</t>
  </si>
  <si>
    <t>4.166,66</t>
  </si>
  <si>
    <t>1.1.1.3.01.002345</t>
  </si>
  <si>
    <t>LACS TRATORES DISTRIBUIDORA</t>
  </si>
  <si>
    <t>125.551,94</t>
  </si>
  <si>
    <t>121.101,94</t>
  </si>
  <si>
    <t>2.225,00</t>
  </si>
  <si>
    <t>1.1.1.3.01.002351</t>
  </si>
  <si>
    <t>EXPOPEDRAS EXTR IND</t>
  </si>
  <si>
    <t>48.042,83</t>
  </si>
  <si>
    <t>47.724,83</t>
  </si>
  <si>
    <t>428,87</t>
  </si>
  <si>
    <t>318,00</t>
  </si>
  <si>
    <t>1.1.1.3.01.002358</t>
  </si>
  <si>
    <t>A.C LOCACAO</t>
  </si>
  <si>
    <t>7.923,60</t>
  </si>
  <si>
    <t>6.455,14</t>
  </si>
  <si>
    <t>1.468,46</t>
  </si>
  <si>
    <t>1.1.1.3.01.002381</t>
  </si>
  <si>
    <t>JOAO PAULO FELICE</t>
  </si>
  <si>
    <t>887,82</t>
  </si>
  <si>
    <t>1.1.1.3.01.002396</t>
  </si>
  <si>
    <t>SOLUCAO SERVICOS E EQUIPAMENTOS HIDRAULI</t>
  </si>
  <si>
    <t>85.382,60</t>
  </si>
  <si>
    <t>72.917,60</t>
  </si>
  <si>
    <t>4.155,00</t>
  </si>
  <si>
    <t>8.310,00</t>
  </si>
  <si>
    <t>1.1.1.3.01.002405</t>
  </si>
  <si>
    <t>HGA COMERCIO DE EQUIPAMENTOS</t>
  </si>
  <si>
    <t>45.558,80</t>
  </si>
  <si>
    <t>39.521,72</t>
  </si>
  <si>
    <t>6.037,08</t>
  </si>
  <si>
    <t>1.1.1.3.01.002415</t>
  </si>
  <si>
    <t>TRANSPORTES E SERVICOS WEIZENNANN</t>
  </si>
  <si>
    <t>25.448,46</t>
  </si>
  <si>
    <t>24.450,80</t>
  </si>
  <si>
    <t>997,66</t>
  </si>
  <si>
    <t>1.1.1.3.01.002422</t>
  </si>
  <si>
    <t>IRMAOS MALGARIN</t>
  </si>
  <si>
    <t>27.702,00</t>
  </si>
  <si>
    <t>25.700,00</t>
  </si>
  <si>
    <t>2.002,00</t>
  </si>
  <si>
    <t>1.1.1.3.01.002428</t>
  </si>
  <si>
    <t>CENTRO DE REPARACAO MECANICA JACARE LTDA</t>
  </si>
  <si>
    <t>45.512,85</t>
  </si>
  <si>
    <t>22.810,93</t>
  </si>
  <si>
    <t>6.723,21</t>
  </si>
  <si>
    <t>3.482,50</t>
  </si>
  <si>
    <t>25.942,63</t>
  </si>
  <si>
    <t>1.1.1.3.01.002441</t>
  </si>
  <si>
    <t>CENTRO MINEIRO DE SISTEMAS HIDRAULICOS</t>
  </si>
  <si>
    <t>236.159,66</t>
  </si>
  <si>
    <t>224.731,08</t>
  </si>
  <si>
    <t>5.714,29</t>
  </si>
  <si>
    <t>1.1.1.3.01.002445</t>
  </si>
  <si>
    <t>SOTRACTOR PECAS LTDA</t>
  </si>
  <si>
    <t>13.838,69</t>
  </si>
  <si>
    <t>11.437,54</t>
  </si>
  <si>
    <t>3.115,48</t>
  </si>
  <si>
    <t>1.200,58</t>
  </si>
  <si>
    <t>4.316,05</t>
  </si>
  <si>
    <t>1.1.1.3.01.002456</t>
  </si>
  <si>
    <t>ROSEANE MARIA DA SILVA</t>
  </si>
  <si>
    <t>227.132,54</t>
  </si>
  <si>
    <t>399,50</t>
  </si>
  <si>
    <t>1.1.1.3.01.002465</t>
  </si>
  <si>
    <t>ROMARIO P DE SOUZA</t>
  </si>
  <si>
    <t>69.508,03</t>
  </si>
  <si>
    <t>69.508,09</t>
  </si>
  <si>
    <t>0,06</t>
  </si>
  <si>
    <t>1.1.1.3.01.002506</t>
  </si>
  <si>
    <t>HIDRAULOG TRANSPORTE</t>
  </si>
  <si>
    <t>15.113,34</t>
  </si>
  <si>
    <t>13.604,36</t>
  </si>
  <si>
    <t>1.508,98</t>
  </si>
  <si>
    <t>1.1.1.3.01.002512</t>
  </si>
  <si>
    <t>M2 TRATORES</t>
  </si>
  <si>
    <t>67.626,06</t>
  </si>
  <si>
    <t>66.820,26</t>
  </si>
  <si>
    <t>805,80</t>
  </si>
  <si>
    <t>1.1.1.3.01.002526</t>
  </si>
  <si>
    <t>L.O DE SOUZA LTDA</t>
  </si>
  <si>
    <t>816.052,41</t>
  </si>
  <si>
    <t>682.058,91</t>
  </si>
  <si>
    <t>31.523,96</t>
  </si>
  <si>
    <t>37.060,82</t>
  </si>
  <si>
    <t>128.456,64</t>
  </si>
  <si>
    <t>1.1.1.3.01.002530</t>
  </si>
  <si>
    <t>MARCOS JOEL DORNELES SIQUEIRA</t>
  </si>
  <si>
    <t>26.843,48</t>
  </si>
  <si>
    <t>21.263,74</t>
  </si>
  <si>
    <t>2.789,87</t>
  </si>
  <si>
    <t>1.1.1.3.01.002542</t>
  </si>
  <si>
    <t>GILSON DARCI DA ROCHA GIL</t>
  </si>
  <si>
    <t>524,23</t>
  </si>
  <si>
    <t>1.1.1.3.01.002547</t>
  </si>
  <si>
    <t>TRACTOR LIDER COMPONENTES</t>
  </si>
  <si>
    <t>206.669,07</t>
  </si>
  <si>
    <t>195.679,75</t>
  </si>
  <si>
    <t>4.211,84</t>
  </si>
  <si>
    <t>2.105,92</t>
  </si>
  <si>
    <t>13.095,24</t>
  </si>
  <si>
    <t>1.1.1.3.01.002554</t>
  </si>
  <si>
    <t>NORTERP CONSTRUCAO</t>
  </si>
  <si>
    <t>3.506,99</t>
  </si>
  <si>
    <t>3.507,00</t>
  </si>
  <si>
    <t>1.1.1.3.01.002567</t>
  </si>
  <si>
    <t>SO MINIS COMERCIO DE PECAS PARA TRATORES</t>
  </si>
  <si>
    <t>3.679,29</t>
  </si>
  <si>
    <t>3.052,75</t>
  </si>
  <si>
    <t>626,54</t>
  </si>
  <si>
    <t>1.1.1.3.01.002583</t>
  </si>
  <si>
    <t>JULIO CEZAR PECAS</t>
  </si>
  <si>
    <t>240.918,49</t>
  </si>
  <si>
    <t>237.385,16</t>
  </si>
  <si>
    <t>22.471,00</t>
  </si>
  <si>
    <t>9.266,67</t>
  </si>
  <si>
    <t>16.737,66</t>
  </si>
  <si>
    <t>1.1.1.3.01.002651</t>
  </si>
  <si>
    <t>GRUPO TEDRAU</t>
  </si>
  <si>
    <t>250.839,62</t>
  </si>
  <si>
    <t>243.918,14</t>
  </si>
  <si>
    <t>6.921,48</t>
  </si>
  <si>
    <t>1.1.1.3.01.002663</t>
  </si>
  <si>
    <t>MULTIESCAVADEIRAS FAB</t>
  </si>
  <si>
    <t>540.726,73</t>
  </si>
  <si>
    <t>519.431,52</t>
  </si>
  <si>
    <t>55.149,00</t>
  </si>
  <si>
    <t>7.471,86</t>
  </si>
  <si>
    <t>68.972,35</t>
  </si>
  <si>
    <t>1.1.1.3.01.002674</t>
  </si>
  <si>
    <t>SERGIO PINHEIRO DA SILVA 94929424020</t>
  </si>
  <si>
    <t>97.463,59</t>
  </si>
  <si>
    <t>81.168,09</t>
  </si>
  <si>
    <t>16.295,50</t>
  </si>
  <si>
    <t>1.1.1.3.01.002677</t>
  </si>
  <si>
    <t>CENTRAL MANGUEIRAS COMERCIO DE MANGUEIRA</t>
  </si>
  <si>
    <t>1.663.379,19</t>
  </si>
  <si>
    <t>1.608.923,50</t>
  </si>
  <si>
    <t>87.998,45</t>
  </si>
  <si>
    <t>48.510,44</t>
  </si>
  <si>
    <t>93.943,70</t>
  </si>
  <si>
    <t>1.1.1.3.01.002742</t>
  </si>
  <si>
    <t>RODRIGO C GARCIA EQUIPAMENTOS</t>
  </si>
  <si>
    <t>449.215,60</t>
  </si>
  <si>
    <t>442.994,52</t>
  </si>
  <si>
    <t>6.221,08</t>
  </si>
  <si>
    <t>1.1.1.3.01.002799</t>
  </si>
  <si>
    <t>DIMAPE PECAS E SERVICOS</t>
  </si>
  <si>
    <t>153.721,80</t>
  </si>
  <si>
    <t>153.223,80</t>
  </si>
  <si>
    <t>3.260,30</t>
  </si>
  <si>
    <t>498,00</t>
  </si>
  <si>
    <t>1.1.1.3.01.002833</t>
  </si>
  <si>
    <t>JOSE VALMOR RIBEIRO</t>
  </si>
  <si>
    <t>17.898,00</t>
  </si>
  <si>
    <t>17.298,00</t>
  </si>
  <si>
    <t>600,00</t>
  </si>
  <si>
    <t>1.1.1.3.01.002844</t>
  </si>
  <si>
    <t>FB COLHEITA MECANIZADA</t>
  </si>
  <si>
    <t>39.056,39</t>
  </si>
  <si>
    <t>38.056,39</t>
  </si>
  <si>
    <t>1.000,00</t>
  </si>
  <si>
    <t>1.1.1.3.01.002848</t>
  </si>
  <si>
    <t>ENGEMATSU PECAS E SERVICOS PARA TRATORES</t>
  </si>
  <si>
    <t>34.433,55</t>
  </si>
  <si>
    <t>28.429,16</t>
  </si>
  <si>
    <t>2.001,46</t>
  </si>
  <si>
    <t>4.002,93</t>
  </si>
  <si>
    <t>1.1.1.3.01.002883</t>
  </si>
  <si>
    <t>IMOBILIARIA E INCORPORACOES HSQ LTDA</t>
  </si>
  <si>
    <t>54.823,81</t>
  </si>
  <si>
    <t>54.691,01</t>
  </si>
  <si>
    <t>132,80</t>
  </si>
  <si>
    <t>1.1.1.3.01.002893</t>
  </si>
  <si>
    <t>VALMIR FIORENTIN DE OLIVEIRA</t>
  </si>
  <si>
    <t>6.713,51</t>
  </si>
  <si>
    <t>2.843,60</t>
  </si>
  <si>
    <t>3.369,91</t>
  </si>
  <si>
    <t>1.1.1.3.01.002924</t>
  </si>
  <si>
    <t>SUL MAQUINAS COMERCIO DE PECAS LTDA</t>
  </si>
  <si>
    <t>362.147,04</t>
  </si>
  <si>
    <t>324.329,45</t>
  </si>
  <si>
    <t>9.024,40</t>
  </si>
  <si>
    <t>28.793,19</t>
  </si>
  <si>
    <t>1.1.1.3.01.002933</t>
  </si>
  <si>
    <t>JOSLEI CARLOS DUARTE</t>
  </si>
  <si>
    <t>37.154,34</t>
  </si>
  <si>
    <t>35.775,99</t>
  </si>
  <si>
    <t>689,17</t>
  </si>
  <si>
    <t>689,18</t>
  </si>
  <si>
    <t>1.1.1.3.01.002966</t>
  </si>
  <si>
    <t>GRANVISA MARMORES E GRANITOS LTDA</t>
  </si>
  <si>
    <t>3.657,96</t>
  </si>
  <si>
    <t>3.657,97</t>
  </si>
  <si>
    <t>1.1.1.3.01.002967</t>
  </si>
  <si>
    <t>PANTANAL COM DE PECAS E SER A MAQ PESADA</t>
  </si>
  <si>
    <t>851,67</t>
  </si>
  <si>
    <t>851,70</t>
  </si>
  <si>
    <t>0,03</t>
  </si>
  <si>
    <t>1.1.1.3.01.002973</t>
  </si>
  <si>
    <t>DE PAULA SERVICOS DE MANUTENCAO MECANICA</t>
  </si>
  <si>
    <t>13.785,77</t>
  </si>
  <si>
    <t>398,59</t>
  </si>
  <si>
    <t>1.1.1.3.01.002995</t>
  </si>
  <si>
    <t>RODOLEVE INDUSTRIA METALURGICA LTDA</t>
  </si>
  <si>
    <t>53.256,42</t>
  </si>
  <si>
    <t>46.284,15</t>
  </si>
  <si>
    <t>3.486,13</t>
  </si>
  <si>
    <t>3.486,14</t>
  </si>
  <si>
    <t>1.1.1.3.01.003014</t>
  </si>
  <si>
    <t>RICAMBI TRATORPECAS LTDA</t>
  </si>
  <si>
    <t>148.374,45</t>
  </si>
  <si>
    <t>114.958,89</t>
  </si>
  <si>
    <t>5.867,54</t>
  </si>
  <si>
    <t>19.575,73</t>
  </si>
  <si>
    <t>19.707,37</t>
  </si>
  <si>
    <t>1.1.1.3.01.003022</t>
  </si>
  <si>
    <t>ARACAJU VEDACOES, PECAS E COMPONENTES HI</t>
  </si>
  <si>
    <t>48.463,79</t>
  </si>
  <si>
    <t>48.464,06</t>
  </si>
  <si>
    <t>0,27</t>
  </si>
  <si>
    <t>1.1.1.3.01.003030</t>
  </si>
  <si>
    <t>MAQUINUNES EQUIPAMENTOS LTDA</t>
  </si>
  <si>
    <t>19.770,88</t>
  </si>
  <si>
    <t>16.656,63</t>
  </si>
  <si>
    <t>1.557,13</t>
  </si>
  <si>
    <t>1.557,12</t>
  </si>
  <si>
    <t>1.1.1.3.01.003042</t>
  </si>
  <si>
    <t>FRANCISCO JOSE ALVES DE SA 41718969830</t>
  </si>
  <si>
    <t>65.502,73</t>
  </si>
  <si>
    <t>63.002,73</t>
  </si>
  <si>
    <t>2.500,00</t>
  </si>
  <si>
    <t>1.1.1.3.01.003056</t>
  </si>
  <si>
    <t>AUTO PECAS ZAN &amp; RUI LTDA</t>
  </si>
  <si>
    <t>29.124,83</t>
  </si>
  <si>
    <t>1.585,40</t>
  </si>
  <si>
    <t>1.1.1.3.01.003064</t>
  </si>
  <si>
    <t>ENGECON ENGENHARIA E FUNDACOES LTDA</t>
  </si>
  <si>
    <t>6.055,97</t>
  </si>
  <si>
    <t>5.030,52</t>
  </si>
  <si>
    <t>512,73</t>
  </si>
  <si>
    <t>512,72</t>
  </si>
  <si>
    <t>1.1.1.3.01.003073</t>
  </si>
  <si>
    <t>CA SISTEMAS E SERVIÇOS HIDRAULICOS LTDA</t>
  </si>
  <si>
    <t>31.016,82</t>
  </si>
  <si>
    <t>5.216,82</t>
  </si>
  <si>
    <t>6.450,00</t>
  </si>
  <si>
    <t>19.350,00</t>
  </si>
  <si>
    <t>1.1.1.3.01.003078</t>
  </si>
  <si>
    <t>MARVAN TERRAPLANAGEM RECICLAGEM E CONSTR</t>
  </si>
  <si>
    <t>17.582,80</t>
  </si>
  <si>
    <t>17.583,00</t>
  </si>
  <si>
    <t>0,20</t>
  </si>
  <si>
    <t>1.1.1.3.01.003092</t>
  </si>
  <si>
    <t>JOSÉ RIBEIRO LIMA NETO</t>
  </si>
  <si>
    <t>5.763,24</t>
  </si>
  <si>
    <t>5.763,25</t>
  </si>
  <si>
    <t>1.1.1.3.01.003101</t>
  </si>
  <si>
    <t>SUL PECAS - COMERCIO E SERVICOS PARA TRA</t>
  </si>
  <si>
    <t>7.335,81</t>
  </si>
  <si>
    <t>1.1.1.3.01.003107</t>
  </si>
  <si>
    <t>ALTERNATIVA HIDRAULIC - COMERCIO E MANUT</t>
  </si>
  <si>
    <t>2.548,19</t>
  </si>
  <si>
    <t>1.752,05</t>
  </si>
  <si>
    <t>796,14</t>
  </si>
  <si>
    <t>1.1.1.3.01.003108</t>
  </si>
  <si>
    <t>GBT RENTAL ALUGUEL E PRESTACAO DE SERVIC</t>
  </si>
  <si>
    <t>40.543,17</t>
  </si>
  <si>
    <t>6.744,63</t>
  </si>
  <si>
    <t>1.1.1.3.01.003113</t>
  </si>
  <si>
    <t>MOREIRA DA SILVA MAQUINAS E PECAS LTDA</t>
  </si>
  <si>
    <t>52.232,47</t>
  </si>
  <si>
    <t>5.997,74</t>
  </si>
  <si>
    <t>1.1.1.3.01.003118</t>
  </si>
  <si>
    <t>GEOMAQ TRATORPECAS LTDA</t>
  </si>
  <si>
    <t>82.493,39</t>
  </si>
  <si>
    <t>81.708,74</t>
  </si>
  <si>
    <t>16.606,57</t>
  </si>
  <si>
    <t>784,65</t>
  </si>
  <si>
    <t>1.1.1.3.01.003130</t>
  </si>
  <si>
    <t>LM ASSISTENCIA TECNICA EM EQUIPAMENTOS P</t>
  </si>
  <si>
    <t>6.064,86</t>
  </si>
  <si>
    <t>3.650,01</t>
  </si>
  <si>
    <t>1.207,43</t>
  </si>
  <si>
    <t>1.207,42</t>
  </si>
  <si>
    <t>1.1.1.3.01.003160</t>
  </si>
  <si>
    <t>INNOVA TRACTOR PECAS LTDA</t>
  </si>
  <si>
    <t>166.009,16</t>
  </si>
  <si>
    <t>156.660,36</t>
  </si>
  <si>
    <t>6.449,78</t>
  </si>
  <si>
    <t>3.734,09</t>
  </si>
  <si>
    <t>12.064,49</t>
  </si>
  <si>
    <t>1.1.1.3.01.003169</t>
  </si>
  <si>
    <t>RIBAS E CLERICI OBRAS DE TERRAPLANAGEM L</t>
  </si>
  <si>
    <t>32.549,80</t>
  </si>
  <si>
    <t>30.304,72</t>
  </si>
  <si>
    <t>2.245,08</t>
  </si>
  <si>
    <t>1.1.1.3.01.003190</t>
  </si>
  <si>
    <t>49.425.414 JUMAR DE OLIVEIRA DA SILVA</t>
  </si>
  <si>
    <t>16.254,64</t>
  </si>
  <si>
    <t>15.904,67</t>
  </si>
  <si>
    <t>349,97</t>
  </si>
  <si>
    <t>1.1.1.3.01.003197</t>
  </si>
  <si>
    <t>TERRAPLENAGEM ECHER LTDA</t>
  </si>
  <si>
    <t>38.691,31</t>
  </si>
  <si>
    <t>38.691,68</t>
  </si>
  <si>
    <t>0,37</t>
  </si>
  <si>
    <t>1.1.1.3.01.003281</t>
  </si>
  <si>
    <t>CARLOS MESSIAS DE SOUZA 00501502513</t>
  </si>
  <si>
    <t>29.891,31</t>
  </si>
  <si>
    <t>6.771,55</t>
  </si>
  <si>
    <t>1.1.1.3.01.003316</t>
  </si>
  <si>
    <t>JACSON D T FAIS LTDA</t>
  </si>
  <si>
    <t>34.014,94</t>
  </si>
  <si>
    <t>30.914,61</t>
  </si>
  <si>
    <t>3.100,33</t>
  </si>
  <si>
    <t>1.1.1.3.01.003329</t>
  </si>
  <si>
    <t>CAMAQ COMERCIO DE PECAS LTDA</t>
  </si>
  <si>
    <t>29.143,06</t>
  </si>
  <si>
    <t>26.979,69</t>
  </si>
  <si>
    <t>2.163,37</t>
  </si>
  <si>
    <t>1.1.1.3.01.003335</t>
  </si>
  <si>
    <t>LUCAT MECANICA DE MANUTENCAO HIDRAULICA</t>
  </si>
  <si>
    <t>48.179,23</t>
  </si>
  <si>
    <t>8.600,00</t>
  </si>
  <si>
    <t>12.000,00</t>
  </si>
  <si>
    <t>1.1.1.3.01.003337</t>
  </si>
  <si>
    <t>FALCO ESCAVACOES E TERRAPLANAGEM LTDA</t>
  </si>
  <si>
    <t>8.879,17</t>
  </si>
  <si>
    <t>8.879,58</t>
  </si>
  <si>
    <t>0,41</t>
  </si>
  <si>
    <t>1.1.1.3.01.003346</t>
  </si>
  <si>
    <t>JEMERSON EDUARDO SILVA RIBEIRO</t>
  </si>
  <si>
    <t>46.264,25</t>
  </si>
  <si>
    <t>31.833,72</t>
  </si>
  <si>
    <t>24.016,86</t>
  </si>
  <si>
    <t>7.816,86</t>
  </si>
  <si>
    <t>1.1.1.3.01.003352</t>
  </si>
  <si>
    <t>HIDRAUPARTS PECAS E SERVICOS LTDA</t>
  </si>
  <si>
    <t>185.924,79</t>
  </si>
  <si>
    <t>133.021,30</t>
  </si>
  <si>
    <t>52.903,49</t>
  </si>
  <si>
    <t>1.1.1.3.01.003353</t>
  </si>
  <si>
    <t>UP MANUTENCAO INDUSTRIAL  LTDA</t>
  </si>
  <si>
    <t>362,29</t>
  </si>
  <si>
    <t>362,30</t>
  </si>
  <si>
    <t>1.1.1.3.01.003362</t>
  </si>
  <si>
    <t>MAQDIESEL MECANICA PESADA LTDA</t>
  </si>
  <si>
    <t>5.465,91</t>
  </si>
  <si>
    <t>4.784,91</t>
  </si>
  <si>
    <t>681,00</t>
  </si>
  <si>
    <t>1.1.1.3.01.003377</t>
  </si>
  <si>
    <t>TONEZER EXTRAÇÃO E COMÉRCIO DE BRITA EIR</t>
  </si>
  <si>
    <t>25.529,06</t>
  </si>
  <si>
    <t>19.434,31</t>
  </si>
  <si>
    <t>1.1.1.3.01.003384</t>
  </si>
  <si>
    <t>SEIXAS PEREIRA MACIEL</t>
  </si>
  <si>
    <t>627,71</t>
  </si>
  <si>
    <t>2.103,60</t>
  </si>
  <si>
    <t>1.1.1.3.01.003434</t>
  </si>
  <si>
    <t>HANGAR IMPORT PECAS E SERVICOS LTDA</t>
  </si>
  <si>
    <t>1.503,87</t>
  </si>
  <si>
    <t>211,45</t>
  </si>
  <si>
    <t>1.1.1.3.01.003440</t>
  </si>
  <si>
    <t>GD COMERCIO DE PECAS E SERVICOS LTDA</t>
  </si>
  <si>
    <t>11.294,68</t>
  </si>
  <si>
    <t>792,46</t>
  </si>
  <si>
    <t>1.1.1.3.01.003462</t>
  </si>
  <si>
    <t>MC MAQUINAS LTDA</t>
  </si>
  <si>
    <t>65.971,57</t>
  </si>
  <si>
    <t>25.886,66</t>
  </si>
  <si>
    <t>8.334,89</t>
  </si>
  <si>
    <t>31.750,02</t>
  </si>
  <si>
    <t>1.1.1.3.01.003464</t>
  </si>
  <si>
    <t>WRATRATOR COMERCIO DE PECAS LTDA</t>
  </si>
  <si>
    <t>2.322,44</t>
  </si>
  <si>
    <t>1.1.1.3.01.003490</t>
  </si>
  <si>
    <t>MEDEIROS PECAS PARA TRATORES LTDA</t>
  </si>
  <si>
    <t>95.360,35</t>
  </si>
  <si>
    <t>88.360,35</t>
  </si>
  <si>
    <t>2.333,33</t>
  </si>
  <si>
    <t>4.666,67</t>
  </si>
  <si>
    <t>1.1.1.3.01.003518</t>
  </si>
  <si>
    <t>SO VEDACOES COMERCIAL LTDA</t>
  </si>
  <si>
    <t>8.115,19</t>
  </si>
  <si>
    <t>6.981,14</t>
  </si>
  <si>
    <t>1.134,05</t>
  </si>
  <si>
    <t>1.1.1.3.01.003533</t>
  </si>
  <si>
    <t>HIDRAUCAT PECAS E SERVICOS LTDA</t>
  </si>
  <si>
    <t>6.000,66</t>
  </si>
  <si>
    <t>1.1.1.3.01.003544</t>
  </si>
  <si>
    <t>RP BENDVENDAS E SOLUCOES LTDA</t>
  </si>
  <si>
    <t>342.357,67</t>
  </si>
  <si>
    <t>331.094,37</t>
  </si>
  <si>
    <t>10.800,00</t>
  </si>
  <si>
    <t>5.925,00</t>
  </si>
  <si>
    <t>16.138,30</t>
  </si>
  <si>
    <t>1.1.1.3.01.003545</t>
  </si>
  <si>
    <t>LUBRACO COMERCIAL E DISTRIBUIDORA LTDA</t>
  </si>
  <si>
    <t>36.895,32</t>
  </si>
  <si>
    <t>32.495,32</t>
  </si>
  <si>
    <t>4.400,00</t>
  </si>
  <si>
    <t>1.1.1.3.01.003590</t>
  </si>
  <si>
    <t>CENTRAL PARTES E PECAS LTDA</t>
  </si>
  <si>
    <t>7.987,71</t>
  </si>
  <si>
    <t>4.588,71</t>
  </si>
  <si>
    <t>1.588,63</t>
  </si>
  <si>
    <t>1.436,56</t>
  </si>
  <si>
    <t>3.551,07</t>
  </si>
  <si>
    <t>1.1.1.3.01.003597</t>
  </si>
  <si>
    <t>TECNIRETROS MECANICA PESADA EIRELI</t>
  </si>
  <si>
    <t>95.614,93</t>
  </si>
  <si>
    <t>81.985,40</t>
  </si>
  <si>
    <t>4.228,62</t>
  </si>
  <si>
    <t>9.400,91</t>
  </si>
  <si>
    <t>1.1.1.3.01.003612</t>
  </si>
  <si>
    <t>CLAYTON DA COSTA SERV</t>
  </si>
  <si>
    <t>487,39</t>
  </si>
  <si>
    <t>1.1.1.3.01.003627</t>
  </si>
  <si>
    <t>ELOPES SERVICOS E TRANSPORTES EIRELI</t>
  </si>
  <si>
    <t>849,85</t>
  </si>
  <si>
    <t>850,11</t>
  </si>
  <si>
    <t>0,26</t>
  </si>
  <si>
    <t>1.1.1.3.01.003633</t>
  </si>
  <si>
    <t>ALLTRAC COMERCIO DE PECAS HIDRAULICAS LT</t>
  </si>
  <si>
    <t>146.591,25</t>
  </si>
  <si>
    <t>146.591,29</t>
  </si>
  <si>
    <t>0,04</t>
  </si>
  <si>
    <t>1.1.1.3.01.003654</t>
  </si>
  <si>
    <t>MG TRACTOR LTDA</t>
  </si>
  <si>
    <t>274.229,55</t>
  </si>
  <si>
    <t>186.549,55</t>
  </si>
  <si>
    <t>21.920,00</t>
  </si>
  <si>
    <t>65.760,00</t>
  </si>
  <si>
    <t>1.1.1.3.01.003723</t>
  </si>
  <si>
    <t>IMPORBRAS PECAS LTDA</t>
  </si>
  <si>
    <t>7.882,64</t>
  </si>
  <si>
    <t>7.882,65</t>
  </si>
  <si>
    <t>1.1.1.3.01.003726</t>
  </si>
  <si>
    <t>FULLTRACTOR PECAS PARA TRATORES LTDA</t>
  </si>
  <si>
    <t>109.458,89</t>
  </si>
  <si>
    <t>98.786,90</t>
  </si>
  <si>
    <t>10.671,99</t>
  </si>
  <si>
    <t>1.1.1.3.01.003733</t>
  </si>
  <si>
    <t>CARLOS ALBERTO GREGORY</t>
  </si>
  <si>
    <t>525,31</t>
  </si>
  <si>
    <t>487,00</t>
  </si>
  <si>
    <t>1.1.1.3.01.003735</t>
  </si>
  <si>
    <t>NOROESTE ESCAVADEIRAS LTDA</t>
  </si>
  <si>
    <t>255.952,49</t>
  </si>
  <si>
    <t>247.265,62</t>
  </si>
  <si>
    <t>8.686,87</t>
  </si>
  <si>
    <t>1.1.1.3.01.003781</t>
  </si>
  <si>
    <t>MINUSA TRATORPECAS LTDA</t>
  </si>
  <si>
    <t>41.117,38</t>
  </si>
  <si>
    <t>25.766,18</t>
  </si>
  <si>
    <t>1.179,58</t>
  </si>
  <si>
    <t>14.171,62</t>
  </si>
  <si>
    <t>1.1.1.3.01.003792</t>
  </si>
  <si>
    <t>EXCAVATEC COMERCIO DE PECAS LTDA</t>
  </si>
  <si>
    <t>114.377,53</t>
  </si>
  <si>
    <t>106.577,46</t>
  </si>
  <si>
    <t>4.400,07</t>
  </si>
  <si>
    <t>3.400,00</t>
  </si>
  <si>
    <t>1.1.1.3.01.003797</t>
  </si>
  <si>
    <t>AMAZONTRACTOR TRATORES E PECAS LTDA</t>
  </si>
  <si>
    <t>4.498,85</t>
  </si>
  <si>
    <t>3.505,20</t>
  </si>
  <si>
    <t>993,65</t>
  </si>
  <si>
    <t>1.1.1.3.01.003801</t>
  </si>
  <si>
    <t>ALIANZA IMEX LTDA</t>
  </si>
  <si>
    <t>243.015,75</t>
  </si>
  <si>
    <t>240.976,56</t>
  </si>
  <si>
    <t>1.424,65</t>
  </si>
  <si>
    <t>614,54</t>
  </si>
  <si>
    <t>1.1.1.3.01.003817</t>
  </si>
  <si>
    <t>MECANICA MARAVIMAQUINAS LTDA</t>
  </si>
  <si>
    <t>26.408,63</t>
  </si>
  <si>
    <t>19.982,78</t>
  </si>
  <si>
    <t>1.103,20</t>
  </si>
  <si>
    <t>3.004,99</t>
  </si>
  <si>
    <t>4.524,06</t>
  </si>
  <si>
    <t>1.1.1.3.01.003819</t>
  </si>
  <si>
    <t>HENRIQUE SERVICOS HIDRAULICOS MAQUINAS P</t>
  </si>
  <si>
    <t>37.114,68</t>
  </si>
  <si>
    <t>22.221,74</t>
  </si>
  <si>
    <t>9.327,55</t>
  </si>
  <si>
    <t>12.894,19</t>
  </si>
  <si>
    <t>1.1.1.3.01.003830</t>
  </si>
  <si>
    <t>PSO - EXTRAÇÃO MINERAL, PAV. E OBRAS LTD</t>
  </si>
  <si>
    <t>6.198,87</t>
  </si>
  <si>
    <t>6.198,89</t>
  </si>
  <si>
    <t>1.1.1.3.01.003848</t>
  </si>
  <si>
    <t>VINICIUS OTAVIO MARTINS DE MELLO</t>
  </si>
  <si>
    <t>530,82</t>
  </si>
  <si>
    <t>1.1.1.3.01.003858</t>
  </si>
  <si>
    <t>SO VEDACOES LTDA</t>
  </si>
  <si>
    <t>28.334,58</t>
  </si>
  <si>
    <t>25.531,86</t>
  </si>
  <si>
    <t>934,24</t>
  </si>
  <si>
    <t>1.868,48</t>
  </si>
  <si>
    <t>1.1.1.3.01.003868</t>
  </si>
  <si>
    <t>HIDRAUFOR COMERCIO DE PECAS LTDA</t>
  </si>
  <si>
    <t>70.389,42</t>
  </si>
  <si>
    <t>69.694,78</t>
  </si>
  <si>
    <t>694,64</t>
  </si>
  <si>
    <t>1.1.1.3.01.003870</t>
  </si>
  <si>
    <t>TRACPECAS SERVICOS E PECAS PARA MAQUINAS</t>
  </si>
  <si>
    <t>34.031,42</t>
  </si>
  <si>
    <t>30.141,08</t>
  </si>
  <si>
    <t>3.890,34</t>
  </si>
  <si>
    <t>1.1.1.3.01.003896</t>
  </si>
  <si>
    <t>ILONI MARIA DE OLIVEIRA</t>
  </si>
  <si>
    <t>23.702,71</t>
  </si>
  <si>
    <t>9.902,71</t>
  </si>
  <si>
    <t>13.800,00</t>
  </si>
  <si>
    <t>1.1.1.3.01.003897</t>
  </si>
  <si>
    <t>IMPORTACAO TRACTOR LTDA</t>
  </si>
  <si>
    <t>62.222,22</t>
  </si>
  <si>
    <t>58.591,89</t>
  </si>
  <si>
    <t>336,34</t>
  </si>
  <si>
    <t>3.630,33</t>
  </si>
  <si>
    <t>1.1.1.3.01.003952</t>
  </si>
  <si>
    <t>PB TRACTOR LTDA</t>
  </si>
  <si>
    <t>18.003,08</t>
  </si>
  <si>
    <t>10.742,05</t>
  </si>
  <si>
    <t>7.261,03</t>
  </si>
  <si>
    <t>1.1.1.3.01.003958</t>
  </si>
  <si>
    <t>RM COMPONENTES HIDRAULICOS LTDA</t>
  </si>
  <si>
    <t>11.729,15</t>
  </si>
  <si>
    <t>9.746,98</t>
  </si>
  <si>
    <t>1.982,17</t>
  </si>
  <si>
    <t>1.1.1.3.01.003978</t>
  </si>
  <si>
    <t>USAPARTS IMPORTADORA DE PECAS PARA TRATO</t>
  </si>
  <si>
    <t>568.508,31</t>
  </si>
  <si>
    <t>547.346,90</t>
  </si>
  <si>
    <t>15.487,18</t>
  </si>
  <si>
    <t>18.631,59</t>
  </si>
  <si>
    <t>18.017,00</t>
  </si>
  <si>
    <t>1.1.1.3.01.003996</t>
  </si>
  <si>
    <t>SIEGER TRATORES LTDA</t>
  </si>
  <si>
    <t>168.704,65</t>
  </si>
  <si>
    <t>129.234,83</t>
  </si>
  <si>
    <t>3.035,98</t>
  </si>
  <si>
    <t>9.831,87</t>
  </si>
  <si>
    <t>32.673,93</t>
  </si>
  <si>
    <t>1.1.1.3.01.003998</t>
  </si>
  <si>
    <t>NORTE EQUIPAMENTOS E SERVICOS LTDA</t>
  </si>
  <si>
    <t>184.867,02</t>
  </si>
  <si>
    <t>184.867,03</t>
  </si>
  <si>
    <t>1.1.1.3.01.004028</t>
  </si>
  <si>
    <t>MECANICA G J PAIM LTDA</t>
  </si>
  <si>
    <t>22.760,01</t>
  </si>
  <si>
    <t>96,35</t>
  </si>
  <si>
    <t>1.1.1.3.01.004058</t>
  </si>
  <si>
    <t>ITABASE LOCACOES LTDA</t>
  </si>
  <si>
    <t>10.283,29</t>
  </si>
  <si>
    <t>1.1.1.3.01.004062</t>
  </si>
  <si>
    <t>PH PARTS INDUSTRIA E COMERCIO DE PECAS L</t>
  </si>
  <si>
    <t>623.953,91</t>
  </si>
  <si>
    <t>522.019,64</t>
  </si>
  <si>
    <t>32.576,45</t>
  </si>
  <si>
    <t>69.357,82</t>
  </si>
  <si>
    <t>1.1.1.3.01.004080</t>
  </si>
  <si>
    <t>REFORMAQ IND COM DE COMP. ROD. LTDA</t>
  </si>
  <si>
    <t>15.830,91</t>
  </si>
  <si>
    <t>9.854,33</t>
  </si>
  <si>
    <t>1.992,19</t>
  </si>
  <si>
    <t>3.984,39</t>
  </si>
  <si>
    <t>1.1.1.3.01.004094</t>
  </si>
  <si>
    <t>52.945.468 IVAN DE SOUZA RIBEIRO</t>
  </si>
  <si>
    <t>9.689,23</t>
  </si>
  <si>
    <t>7.220,90</t>
  </si>
  <si>
    <t>2.468,33</t>
  </si>
  <si>
    <t>1.1.1.3.01.004117</t>
  </si>
  <si>
    <t>C. MOREIRA COMERCIO DE PECAS LTDA</t>
  </si>
  <si>
    <t>71.017,99</t>
  </si>
  <si>
    <t>67.272,24</t>
  </si>
  <si>
    <t>3.745,75</t>
  </si>
  <si>
    <t>1.1.1.3.01.004127</t>
  </si>
  <si>
    <t>FM TRACTOR PECAS PARA TRATORES IMPORTACA</t>
  </si>
  <si>
    <t>182.144,19</t>
  </si>
  <si>
    <t>135.110,87</t>
  </si>
  <si>
    <t>47.033,32</t>
  </si>
  <si>
    <t>1.1.1.3.01.004138</t>
  </si>
  <si>
    <t>TRITON COMERCIO DE CALCADOS LTDA</t>
  </si>
  <si>
    <t>55.892,54</t>
  </si>
  <si>
    <t>1.278,76</t>
  </si>
  <si>
    <t>1.1.1.3.01.004142</t>
  </si>
  <si>
    <t>FERNANDO NACRUTH FILHO</t>
  </si>
  <si>
    <t>1.100,00</t>
  </si>
  <si>
    <t>800,00</t>
  </si>
  <si>
    <t>1.1.1.3.01.004147</t>
  </si>
  <si>
    <t>CLARICE CARLOS DE JESUS NAVES</t>
  </si>
  <si>
    <t>2.698,59</t>
  </si>
  <si>
    <t>2.365,26</t>
  </si>
  <si>
    <t>333,33</t>
  </si>
  <si>
    <t>1.1.1.3.01.004165</t>
  </si>
  <si>
    <t>DIEGO FIGUEIRA PINTO COMERCIO</t>
  </si>
  <si>
    <t>37.981,28</t>
  </si>
  <si>
    <t>23.250,47</t>
  </si>
  <si>
    <t>2.382,28</t>
  </si>
  <si>
    <t>12.348,53</t>
  </si>
  <si>
    <t>1.1.1.3.01.004193</t>
  </si>
  <si>
    <t>M A DE OLIVEIRA RIBEIRO TRANSPORTES ME</t>
  </si>
  <si>
    <t>1.767,99</t>
  </si>
  <si>
    <t>1.178,66</t>
  </si>
  <si>
    <t>589,33</t>
  </si>
  <si>
    <t>1.1.1.3.01.004223</t>
  </si>
  <si>
    <t>BM TRACTOR LTDA</t>
  </si>
  <si>
    <t>1.241.120,43</t>
  </si>
  <si>
    <t>1.038.638,70</t>
  </si>
  <si>
    <t>30.465,55</t>
  </si>
  <si>
    <t>74.629,90</t>
  </si>
  <si>
    <t>158.317,38</t>
  </si>
  <si>
    <t>1.1.1.3.01.004234</t>
  </si>
  <si>
    <t>E. DA SILVA BARBOSA LTDA</t>
  </si>
  <si>
    <t>431.803,20</t>
  </si>
  <si>
    <t>397.166,62</t>
  </si>
  <si>
    <t>13.916,31</t>
  </si>
  <si>
    <t>13.733,78</t>
  </si>
  <si>
    <t>34.819,11</t>
  </si>
  <si>
    <t>1.1.1.3.01.004236</t>
  </si>
  <si>
    <t>STUMPF EMPREENDIMENTOS LTDA</t>
  </si>
  <si>
    <t>12.226,36</t>
  </si>
  <si>
    <t>10.798,20</t>
  </si>
  <si>
    <t>1.428,16</t>
  </si>
  <si>
    <t>1.1.1.3.01.004312</t>
  </si>
  <si>
    <t>IMPORTACAO HOFFMANN LTDA</t>
  </si>
  <si>
    <t>108.795,11</t>
  </si>
  <si>
    <t>89.860,11</t>
  </si>
  <si>
    <t>1.762,16</t>
  </si>
  <si>
    <t>20.697,16</t>
  </si>
  <si>
    <t>1.1.1.3.01.004354</t>
  </si>
  <si>
    <t>KON MAQUINAS COMERCIO DE PECAS E SERVICO</t>
  </si>
  <si>
    <t>8.000,00</t>
  </si>
  <si>
    <t>4.000,00</t>
  </si>
  <si>
    <t>1.1.1.3.01.004380</t>
  </si>
  <si>
    <t>54.070.117 ABIMAEL DE MELO BENTO</t>
  </si>
  <si>
    <t>1.1.1.3.01.004418</t>
  </si>
  <si>
    <t>RENATO DA SILVA</t>
  </si>
  <si>
    <t>2.166,82</t>
  </si>
  <si>
    <t>451,82</t>
  </si>
  <si>
    <t>1.715,00</t>
  </si>
  <si>
    <t>1.1.1.3.01.004468</t>
  </si>
  <si>
    <t>DEIVID DOS SANTOS PELLARIN 21382008848</t>
  </si>
  <si>
    <t>780,82</t>
  </si>
  <si>
    <t>452,01</t>
  </si>
  <si>
    <t>1.1.1.3.01.004478</t>
  </si>
  <si>
    <t>A.S.P. - TRANSPORTES E LOCACOES LTDA</t>
  </si>
  <si>
    <t>1.478,47</t>
  </si>
  <si>
    <t>5.685,92</t>
  </si>
  <si>
    <t>739,24</t>
  </si>
  <si>
    <t>6.425,15</t>
  </si>
  <si>
    <t>1.1.1.3.01.004481</t>
  </si>
  <si>
    <t>JWG TRATORES LTDA</t>
  </si>
  <si>
    <t>9.353,59</t>
  </si>
  <si>
    <t>8.709,14</t>
  </si>
  <si>
    <t>644,45</t>
  </si>
  <si>
    <t>1.1.1.3.01.004530</t>
  </si>
  <si>
    <t>ATP LOCACAO DE MAQUINAS E EQUIPAMENTOS</t>
  </si>
  <si>
    <t>74.907,51</t>
  </si>
  <si>
    <t>62.281,05</t>
  </si>
  <si>
    <t>2.210,00</t>
  </si>
  <si>
    <t>10.416,46</t>
  </si>
  <si>
    <t>1.1.1.3.01.004569</t>
  </si>
  <si>
    <t>GP TRATORES MANUTENCAO E PECAS LTDA</t>
  </si>
  <si>
    <t>2.904,76</t>
  </si>
  <si>
    <t>843,01</t>
  </si>
  <si>
    <t>1.030,88</t>
  </si>
  <si>
    <t>1.030,87</t>
  </si>
  <si>
    <t>1.1.1.3.01.004608</t>
  </si>
  <si>
    <t>S.T.P. COMERCIO DE PECAS PARA TRATORES L</t>
  </si>
  <si>
    <t>3.552,25</t>
  </si>
  <si>
    <t>1.184,08</t>
  </si>
  <si>
    <t>2.368,17</t>
  </si>
  <si>
    <t>1.1.1.3.01.004648</t>
  </si>
  <si>
    <t>PRIME LOCACOES E TRANSPORTES LTDA</t>
  </si>
  <si>
    <t>47.463,57</t>
  </si>
  <si>
    <t>30.064,83</t>
  </si>
  <si>
    <t>17.398,74</t>
  </si>
  <si>
    <t>1.1.1.3.01.004651</t>
  </si>
  <si>
    <t>L &amp; S PECAS E SERVICOS LTDA</t>
  </si>
  <si>
    <t>109.498,51</t>
  </si>
  <si>
    <t>78.867,57</t>
  </si>
  <si>
    <t>12.781,62</t>
  </si>
  <si>
    <t>28.766,07</t>
  </si>
  <si>
    <t>14.646,49</t>
  </si>
  <si>
    <t>1.1.1.3.01.004801</t>
  </si>
  <si>
    <t>LARISSA ALVES SILVA</t>
  </si>
  <si>
    <t>34.835,84</t>
  </si>
  <si>
    <t>30.788,08</t>
  </si>
  <si>
    <t>1.625,00</t>
  </si>
  <si>
    <t>2.422,76</t>
  </si>
  <si>
    <t>1.1.1.3.01.004805</t>
  </si>
  <si>
    <t>G G MARTINS</t>
  </si>
  <si>
    <t>13.694,51</t>
  </si>
  <si>
    <t>7.156,03</t>
  </si>
  <si>
    <t>6.538,48</t>
  </si>
  <si>
    <t>1.1.1.3.01.004828</t>
  </si>
  <si>
    <t>DDBL MANUTENCAO E SERVICO LTDA</t>
  </si>
  <si>
    <t>34.133,16</t>
  </si>
  <si>
    <t>29.423,81</t>
  </si>
  <si>
    <t>1.627,34</t>
  </si>
  <si>
    <t>3.082,01</t>
  </si>
  <si>
    <t>1.1.1.3.01.004835</t>
  </si>
  <si>
    <t>SCM PRODUCTS COMERCIO DE PECAS LTDA</t>
  </si>
  <si>
    <t>5.780,00</t>
  </si>
  <si>
    <t>504,30</t>
  </si>
  <si>
    <t>1.1.1.3.01.004854</t>
  </si>
  <si>
    <t>KS MAQUINAS E EQUIPAMENTOS LTDA</t>
  </si>
  <si>
    <t>195.306,70</t>
  </si>
  <si>
    <t>169.875,99</t>
  </si>
  <si>
    <t>42.424,01</t>
  </si>
  <si>
    <t>15.085,31</t>
  </si>
  <si>
    <t>52.769,41</t>
  </si>
  <si>
    <t>1.1.1.3.01.004855</t>
  </si>
  <si>
    <t>DETRONIC DESMONTES E TERRAPLENAGEM SA</t>
  </si>
  <si>
    <t>20.989,27</t>
  </si>
  <si>
    <t>16.114,27</t>
  </si>
  <si>
    <t>4.875,00</t>
  </si>
  <si>
    <t>1.1.1.3.01.004872</t>
  </si>
  <si>
    <t>MALLORY DAVIS</t>
  </si>
  <si>
    <t>17.875,00</t>
  </si>
  <si>
    <t>1.1.1.3.01.004874</t>
  </si>
  <si>
    <t>53.657.053 CARLOS JURANDIR PEREIRA DOS S</t>
  </si>
  <si>
    <t>6.756,42</t>
  </si>
  <si>
    <t>6.503,81</t>
  </si>
  <si>
    <t>252,61</t>
  </si>
  <si>
    <t>1.1.1.3.01.004905</t>
  </si>
  <si>
    <t>TRATORLIN DISTRIBUIDORA DE PECAS</t>
  </si>
  <si>
    <t>39.791,21</t>
  </si>
  <si>
    <t>37.359,02</t>
  </si>
  <si>
    <t>2.432,19</t>
  </si>
  <si>
    <t>1.1.1.3.01.004922</t>
  </si>
  <si>
    <t>ELENICE RODRIGUES MARQUES</t>
  </si>
  <si>
    <t>2.752,05</t>
  </si>
  <si>
    <t>1.376,03</t>
  </si>
  <si>
    <t>1.376,02</t>
  </si>
  <si>
    <t>1.1.1.3.01.004943</t>
  </si>
  <si>
    <t>PLANEMA TERRAPLENAGEM LTDA</t>
  </si>
  <si>
    <t>42.200,45</t>
  </si>
  <si>
    <t>31.472,67</t>
  </si>
  <si>
    <t>10.727,78</t>
  </si>
  <si>
    <t>1.1.1.3.01.004995</t>
  </si>
  <si>
    <t>MP RIO PRETO EQUIPAMENTOS AGRICOLAS LTDA</t>
  </si>
  <si>
    <t>41.359,67</t>
  </si>
  <si>
    <t>36.959,67</t>
  </si>
  <si>
    <t>1.200,00</t>
  </si>
  <si>
    <t>1.1.1.3.01.005009</t>
  </si>
  <si>
    <t>TRACTORMASTER LTDA</t>
  </si>
  <si>
    <t>12.287,26</t>
  </si>
  <si>
    <t>1.1.1.3.01.005015</t>
  </si>
  <si>
    <t>BARBOSIL PECAS E COMPONENTES HIDRAULICOS</t>
  </si>
  <si>
    <t>40.911,31</t>
  </si>
  <si>
    <t>35.137,33</t>
  </si>
  <si>
    <t>4.163,08</t>
  </si>
  <si>
    <t>1.610,90</t>
  </si>
  <si>
    <t>1.1.1.3.01.005021</t>
  </si>
  <si>
    <t>31.399.679 ALEXSANDRO DA CONCEICAO SOARE</t>
  </si>
  <si>
    <t>65.922,37</t>
  </si>
  <si>
    <t>53.478,58</t>
  </si>
  <si>
    <t>4.100,35</t>
  </si>
  <si>
    <t>8.343,44</t>
  </si>
  <si>
    <t>1.1.1.3.01.005034</t>
  </si>
  <si>
    <t>VEDAPRESS COMPONENTES HIDRAULICOS LTDA</t>
  </si>
  <si>
    <t>14.282,50</t>
  </si>
  <si>
    <t>7.676,18</t>
  </si>
  <si>
    <t>1.1.1.3.01.005047</t>
  </si>
  <si>
    <t>RUBEM GUEDES TRANSPORTES E TERRAPLENAGEN</t>
  </si>
  <si>
    <t>1.982,48</t>
  </si>
  <si>
    <t>660,83</t>
  </si>
  <si>
    <t>1.321,65</t>
  </si>
  <si>
    <t>1.1.1.3.01.005065</t>
  </si>
  <si>
    <t>J.BRUBER - EQUIPAMENTOS INDUSTRIAIS LTDA</t>
  </si>
  <si>
    <t>1.930,89</t>
  </si>
  <si>
    <t>1.493,23</t>
  </si>
  <si>
    <t>437,66</t>
  </si>
  <si>
    <t>1.1.1.3.01.005105</t>
  </si>
  <si>
    <t>N.B MAQUIPECAS COMERCIO E IMPORTACAO LTD</t>
  </si>
  <si>
    <t>6.186,96</t>
  </si>
  <si>
    <t>4.789,19</t>
  </si>
  <si>
    <t>2.898,15</t>
  </si>
  <si>
    <t>1.423,42</t>
  </si>
  <si>
    <t>2.872,50</t>
  </si>
  <si>
    <t>1.1.1.3.01.005178</t>
  </si>
  <si>
    <t>BR TRACTOR LOCACAO E SERVICOS</t>
  </si>
  <si>
    <t>158.831,30</t>
  </si>
  <si>
    <t>116.431,30</t>
  </si>
  <si>
    <t>19.900,00</t>
  </si>
  <si>
    <t>22.500,00</t>
  </si>
  <si>
    <t>1.1.1.3.01.005190</t>
  </si>
  <si>
    <t>H N HIDRAULICA LTDA</t>
  </si>
  <si>
    <t>4.398,67</t>
  </si>
  <si>
    <t>1.466,22</t>
  </si>
  <si>
    <t>2.932,45</t>
  </si>
  <si>
    <t>1.1.1.3.01.005191</t>
  </si>
  <si>
    <t>AMBIENTALE SANEAMENTO LTDA</t>
  </si>
  <si>
    <t>13.733,73</t>
  </si>
  <si>
    <t>12.459,52</t>
  </si>
  <si>
    <t>1.274,21</t>
  </si>
  <si>
    <t>1.1.1.3.01.005211</t>
  </si>
  <si>
    <t>57.864.372 LORENA PEREIRA DA SILVA COSTA</t>
  </si>
  <si>
    <t>17.970,11</t>
  </si>
  <si>
    <t>14.673,49</t>
  </si>
  <si>
    <t>3.296,62</t>
  </si>
  <si>
    <t>1.1.1.3.01.005229</t>
  </si>
  <si>
    <t>TERRA GODINHO LTDA</t>
  </si>
  <si>
    <t>15.039,29</t>
  </si>
  <si>
    <t>15.039,30</t>
  </si>
  <si>
    <t>1.1.1.3.01.005243</t>
  </si>
  <si>
    <t>PH COMERCIO DE PECAS</t>
  </si>
  <si>
    <t>701.872,50</t>
  </si>
  <si>
    <t>480.598,51</t>
  </si>
  <si>
    <t>64.296,35</t>
  </si>
  <si>
    <t>156.977,64</t>
  </si>
  <si>
    <t>1.1.1.3.01.005290</t>
  </si>
  <si>
    <t>DESF ENGENHARIA DE SOLOS LTDA</t>
  </si>
  <si>
    <t>517,44</t>
  </si>
  <si>
    <t>16.066,56</t>
  </si>
  <si>
    <t>1.1.1.3.01.005307</t>
  </si>
  <si>
    <t>ACM AUTO CENTER MAQUINAS LTDA</t>
  </si>
  <si>
    <t>10.622,95</t>
  </si>
  <si>
    <t>9.249,59</t>
  </si>
  <si>
    <t>1.373,36</t>
  </si>
  <si>
    <t>1.1.1.3.01.005328</t>
  </si>
  <si>
    <t>HIDROKRAS COMERCIO DE EQUIPAMENTOS OLEO</t>
  </si>
  <si>
    <t>209,05</t>
  </si>
  <si>
    <t>1.1.1.3.01.005389</t>
  </si>
  <si>
    <t>NEW MAQ LTDA</t>
  </si>
  <si>
    <t>85.350,56</t>
  </si>
  <si>
    <t>65.508,98</t>
  </si>
  <si>
    <t>12.171,77</t>
  </si>
  <si>
    <t>7.669,81</t>
  </si>
  <si>
    <t>1.1.1.3.01.005401</t>
  </si>
  <si>
    <t>PEDRO BARAN MECANICA</t>
  </si>
  <si>
    <t>20.001,64</t>
  </si>
  <si>
    <t>15.665,14</t>
  </si>
  <si>
    <t>4.336,50</t>
  </si>
  <si>
    <t>1.1.1.3.01.005472</t>
  </si>
  <si>
    <t>JULIANE ROCHA BRASIL E CIA LTDA</t>
  </si>
  <si>
    <t>21.341,44</t>
  </si>
  <si>
    <t>4.895,44</t>
  </si>
  <si>
    <t>1.1.1.3.01.005501</t>
  </si>
  <si>
    <t>LETICIA DE QUEIROZ RAMOS 70050173154</t>
  </si>
  <si>
    <t>1.124,00</t>
  </si>
  <si>
    <t>1.1.1.3.01.005527</t>
  </si>
  <si>
    <t>TERRAPLENAGEM PASSO D AREIA LTDA</t>
  </si>
  <si>
    <t>26.190,16</t>
  </si>
  <si>
    <t>23.065,16</t>
  </si>
  <si>
    <t>3.125,00</t>
  </si>
  <si>
    <t>1.1.1.3.01.005546</t>
  </si>
  <si>
    <t>FLÁVIO ELISANDRO SCHUH</t>
  </si>
  <si>
    <t>144.604,24</t>
  </si>
  <si>
    <t>144.604,34</t>
  </si>
  <si>
    <t>0,10</t>
  </si>
  <si>
    <t>1.1.1.3.01.005550</t>
  </si>
  <si>
    <t>CLEIDE FAJONE SILVA</t>
  </si>
  <si>
    <t>10.470,66</t>
  </si>
  <si>
    <t>10.266,58</t>
  </si>
  <si>
    <t>204,08</t>
  </si>
  <si>
    <t>1.1.1.3.01.005557</t>
  </si>
  <si>
    <t>JF CONSTRUCOES E SERVICOS LTDA</t>
  </si>
  <si>
    <t>15.261,40</t>
  </si>
  <si>
    <t>7.630,70</t>
  </si>
  <si>
    <t>3.815,35</t>
  </si>
  <si>
    <t>1.1.1.3.01.005559</t>
  </si>
  <si>
    <t>ZURITA COMERCIO DE PECAS PARA MAQUINAS P</t>
  </si>
  <si>
    <t>8.490,06</t>
  </si>
  <si>
    <t>8.021,40</t>
  </si>
  <si>
    <t>468,66</t>
  </si>
  <si>
    <t>1.1.1.3.01.005566</t>
  </si>
  <si>
    <t>D-E MANUTENCAO DE MAQUINAS LTDA</t>
  </si>
  <si>
    <t>36.013,99</t>
  </si>
  <si>
    <t>32.592,78</t>
  </si>
  <si>
    <t>900,47</t>
  </si>
  <si>
    <t>2.150,71</t>
  </si>
  <si>
    <t>2.170,97</t>
  </si>
  <si>
    <t>1.1.1.3.01.005569</t>
  </si>
  <si>
    <t>CONSTRUTORA MTEC GEOTECNIA LTDA</t>
  </si>
  <si>
    <t>91.738,40</t>
  </si>
  <si>
    <t>78.000,00</t>
  </si>
  <si>
    <t>13.738,40</t>
  </si>
  <si>
    <t>1.1.1.3.01.005580</t>
  </si>
  <si>
    <t>CLASSIC SERVICOS DE MANUTENCAO E LOCACAO</t>
  </si>
  <si>
    <t>61.570,96</t>
  </si>
  <si>
    <t>56.570,96</t>
  </si>
  <si>
    <t>5.000,00</t>
  </si>
  <si>
    <t>1.1.1.3.01.005589</t>
  </si>
  <si>
    <t>ELTON NATANAEL CARDOSO CARDOSO</t>
  </si>
  <si>
    <t>683,54</t>
  </si>
  <si>
    <t>341,77</t>
  </si>
  <si>
    <t>1.1.1.3.01.005602</t>
  </si>
  <si>
    <t>FR TRANSPORTADORA E SERVICOS LTDA</t>
  </si>
  <si>
    <t>32.347,00</t>
  </si>
  <si>
    <t>14.837,50</t>
  </si>
  <si>
    <t>17.509,50</t>
  </si>
  <si>
    <t>1.1.1.3.01.005610</t>
  </si>
  <si>
    <t>FAROL CONSULTORIA AGROFLORESTAL LTDA</t>
  </si>
  <si>
    <t>2.819,81</t>
  </si>
  <si>
    <t>939,95</t>
  </si>
  <si>
    <t>1.879,86</t>
  </si>
  <si>
    <t>1.1.1.3.01.005613</t>
  </si>
  <si>
    <t>GLOBO CONSTRUCOES E TERRAPLANAGEM LTDA</t>
  </si>
  <si>
    <t>30.422,49</t>
  </si>
  <si>
    <t>30.422,50</t>
  </si>
  <si>
    <t>1.1.1.3.01.005622</t>
  </si>
  <si>
    <t>MECANICA TRATORTEC LTDA</t>
  </si>
  <si>
    <t>11.363,17</t>
  </si>
  <si>
    <t>8.855,24</t>
  </si>
  <si>
    <t>1.804,33</t>
  </si>
  <si>
    <t>703,60</t>
  </si>
  <si>
    <t>1.1.1.3.01.005645</t>
  </si>
  <si>
    <t>HIDRAULICA INDUSTRIA E COMERCIO SC LTDA</t>
  </si>
  <si>
    <t>11.771,13</t>
  </si>
  <si>
    <t>4.602,32</t>
  </si>
  <si>
    <t>3.645,35</t>
  </si>
  <si>
    <t>5.422,11</t>
  </si>
  <si>
    <t>5.392,05</t>
  </si>
  <si>
    <t>1.1.1.3.01.005665</t>
  </si>
  <si>
    <t>N KOLTERMANN COMERCIO DE ACESSORIOS E PE</t>
  </si>
  <si>
    <t>12.735,46</t>
  </si>
  <si>
    <t>12.225,77</t>
  </si>
  <si>
    <t>509,69</t>
  </si>
  <si>
    <t>1.1.1.3.01.005693</t>
  </si>
  <si>
    <t>H&amp;M MECANICA PESADA LTDA</t>
  </si>
  <si>
    <t>55.780,49</t>
  </si>
  <si>
    <t>51.299,37</t>
  </si>
  <si>
    <t>4.481,12</t>
  </si>
  <si>
    <t>1.1.1.3.01.005702</t>
  </si>
  <si>
    <t>MARCOS DA SILVA BIAO</t>
  </si>
  <si>
    <t>4.529,21</t>
  </si>
  <si>
    <t>1.1.1.3.01.005721</t>
  </si>
  <si>
    <t>MANUTENÇÃO EM EQUIPAMENTOS PESADOS EIREL</t>
  </si>
  <si>
    <t>80.632,71</t>
  </si>
  <si>
    <t>72.674,73</t>
  </si>
  <si>
    <t>5.119,80</t>
  </si>
  <si>
    <t>2.838,18</t>
  </si>
  <si>
    <t>1.1.1.3.01.005728</t>
  </si>
  <si>
    <t>TRANS MATIELLI LTDA</t>
  </si>
  <si>
    <t>26.813,74</t>
  </si>
  <si>
    <t>21.977,21</t>
  </si>
  <si>
    <t>2.050,00</t>
  </si>
  <si>
    <t>2.786,53</t>
  </si>
  <si>
    <t>4.100,00</t>
  </si>
  <si>
    <t>1.1.1.3.01.005731</t>
  </si>
  <si>
    <t>JOSUE OBEDE DOS SANTOS</t>
  </si>
  <si>
    <t>7.595,31</t>
  </si>
  <si>
    <t>6.494,40</t>
  </si>
  <si>
    <t>1.100,91</t>
  </si>
  <si>
    <t>1.1.1.3.01.005742</t>
  </si>
  <si>
    <t>GIASSI E GIASSI LTDA</t>
  </si>
  <si>
    <t>47.419,50</t>
  </si>
  <si>
    <t>42.226,64</t>
  </si>
  <si>
    <t>5.192,86</t>
  </si>
  <si>
    <t>1.1.1.3.01.005748</t>
  </si>
  <si>
    <t>EDGAR DEON</t>
  </si>
  <si>
    <t>464,76</t>
  </si>
  <si>
    <t>464,78</t>
  </si>
  <si>
    <t>1.1.1.3.01.005769</t>
  </si>
  <si>
    <t>LUIZ FERNANDO QUEIROZ DE CASTRO PEREIRA</t>
  </si>
  <si>
    <t>35.684,15</t>
  </si>
  <si>
    <t>29.484,15</t>
  </si>
  <si>
    <t>6.200,00</t>
  </si>
  <si>
    <t>1.1.1.3.01.005790</t>
  </si>
  <si>
    <t>LIMBERT ALEXIS PEREYRA PEREZ</t>
  </si>
  <si>
    <t>20.620,40</t>
  </si>
  <si>
    <t>18.168,00</t>
  </si>
  <si>
    <t>2.452,40</t>
  </si>
  <si>
    <t>1.1.1.3.01.005793</t>
  </si>
  <si>
    <t>TASSO SERVICOS E PECAS LTDA</t>
  </si>
  <si>
    <t>792,96</t>
  </si>
  <si>
    <t>792,95</t>
  </si>
  <si>
    <t>1.1.1.3.01.005817</t>
  </si>
  <si>
    <t>BAMAQ SA BANDEIRANTES MAQUINAS E EQUIPAM</t>
  </si>
  <si>
    <t>14.539,40</t>
  </si>
  <si>
    <t>2.004,86</t>
  </si>
  <si>
    <t>13.000,00</t>
  </si>
  <si>
    <t>4.178,18</t>
  </si>
  <si>
    <t>21.356,36</t>
  </si>
  <si>
    <t>1.1.1.3.01.005858</t>
  </si>
  <si>
    <t>INNOVAPAV COMERCIO DE PECAS PARA MAQUINA</t>
  </si>
  <si>
    <t>7.596,36</t>
  </si>
  <si>
    <t>1.1.1.3.01.005862</t>
  </si>
  <si>
    <t>PLENO TERRAPLENAGENS LTDA</t>
  </si>
  <si>
    <t>417,19</t>
  </si>
  <si>
    <t>1.128,23</t>
  </si>
  <si>
    <t>1.1.1.3.01.005915</t>
  </si>
  <si>
    <t>RR MAQUINAS LTDA</t>
  </si>
  <si>
    <t>8.363,24</t>
  </si>
  <si>
    <t>4.181,62</t>
  </si>
  <si>
    <t>2.090,81</t>
  </si>
  <si>
    <t>1.1.1.3.01.005933</t>
  </si>
  <si>
    <t>TRACTOR-TERRA PECAS P/ TRATORES LTDA</t>
  </si>
  <si>
    <t>2.278,57</t>
  </si>
  <si>
    <t>1.139,29</t>
  </si>
  <si>
    <t>1.139,28</t>
  </si>
  <si>
    <t>1.1.1.3.01.005974</t>
  </si>
  <si>
    <t>AMAREMAQ PECAS E SERVICOS LTDA</t>
  </si>
  <si>
    <t>10.637,97</t>
  </si>
  <si>
    <t>3.545,99</t>
  </si>
  <si>
    <t>1.1.1.3.01.005975</t>
  </si>
  <si>
    <t>THIAGO PEIXINHO</t>
  </si>
  <si>
    <t>376,04</t>
  </si>
  <si>
    <t>1.1.1.3.01.005991</t>
  </si>
  <si>
    <t>VOL IMPORTS MS COMERCIO DE PECAS</t>
  </si>
  <si>
    <t>7.731,85</t>
  </si>
  <si>
    <t>5.487,56</t>
  </si>
  <si>
    <t>2.244,29</t>
  </si>
  <si>
    <t>1.1.1.3.01.005997</t>
  </si>
  <si>
    <t>TORK COMERCIO INDUSTRIA IMPORTACAO E EXP</t>
  </si>
  <si>
    <t>34.755,34</t>
  </si>
  <si>
    <t>8.775,62</t>
  </si>
  <si>
    <t>5.408,29</t>
  </si>
  <si>
    <t>20.571,43</t>
  </si>
  <si>
    <t>1.1.1.3.01.006003</t>
  </si>
  <si>
    <t>NHS ENGENHARIA E CONSTRUCAO LTDA.</t>
  </si>
  <si>
    <t>108.471,34</t>
  </si>
  <si>
    <t>87.471,34</t>
  </si>
  <si>
    <t>21.000,00</t>
  </si>
  <si>
    <t>1.1.1.3.01.006038</t>
  </si>
  <si>
    <t>HIDRAULIDER COMPONENTES HIDRAULICOS LTDA</t>
  </si>
  <si>
    <t>24.088,65</t>
  </si>
  <si>
    <t>1.716,50</t>
  </si>
  <si>
    <t>858,25</t>
  </si>
  <si>
    <t>1.1.1.3.01.006063</t>
  </si>
  <si>
    <t>FFB LOCACAO DE MAQUINAS E EQUIPAMENTOS</t>
  </si>
  <si>
    <t>645,00</t>
  </si>
  <si>
    <t>1.1.1.3.01.006078</t>
  </si>
  <si>
    <t>VMBB PECAS PARA TRATORES EM GERAL</t>
  </si>
  <si>
    <t>64.597,93</t>
  </si>
  <si>
    <t>46.119,97</t>
  </si>
  <si>
    <t>7.241,51</t>
  </si>
  <si>
    <t>11.236,45</t>
  </si>
  <si>
    <t>1.1.1.3.01.006110</t>
  </si>
  <si>
    <t>CESAR MOACIR PINOW RIBAS</t>
  </si>
  <si>
    <t>2.123,52</t>
  </si>
  <si>
    <t>770,37</t>
  </si>
  <si>
    <t>676,58</t>
  </si>
  <si>
    <t>676,57</t>
  </si>
  <si>
    <t>1.1.1.3.01.006147</t>
  </si>
  <si>
    <t>MIGUEL SOUSA BARBOSA</t>
  </si>
  <si>
    <t>693,54</t>
  </si>
  <si>
    <t>1.1.1.3.01.006165</t>
  </si>
  <si>
    <t>LEANDRO BUENO LTDA</t>
  </si>
  <si>
    <t>6.345,42</t>
  </si>
  <si>
    <t>3.901,42</t>
  </si>
  <si>
    <t>814,67</t>
  </si>
  <si>
    <t>1.629,33</t>
  </si>
  <si>
    <t>1.1.1.3.01.006487</t>
  </si>
  <si>
    <t>SERVMINA - ENGENHARIA MINERAL E AMBIENTA</t>
  </si>
  <si>
    <t>37.383,00</t>
  </si>
  <si>
    <t>28.535,75</t>
  </si>
  <si>
    <t>8.847,25</t>
  </si>
  <si>
    <t>1.1.1.3.01.006491</t>
  </si>
  <si>
    <t>WILLIAM H DE B MENDES LTDA</t>
  </si>
  <si>
    <t>37.940,08</t>
  </si>
  <si>
    <t>26.060,08</t>
  </si>
  <si>
    <t>3.960,00</t>
  </si>
  <si>
    <t>7.920,00</t>
  </si>
  <si>
    <t>1.1.1.3.01.006492</t>
  </si>
  <si>
    <t>BRUNO GOMES DE SOUZA</t>
  </si>
  <si>
    <t>11.054,96</t>
  </si>
  <si>
    <t>8.429,99</t>
  </si>
  <si>
    <t>874,99</t>
  </si>
  <si>
    <t>1.749,98</t>
  </si>
  <si>
    <t>1.1.1.3.01.006510</t>
  </si>
  <si>
    <t>LINCETRACTOR COMERCIO, IMPORTACAO E EXPO</t>
  </si>
  <si>
    <t>4.589,41</t>
  </si>
  <si>
    <t>1.1.1.3.01.006513</t>
  </si>
  <si>
    <t>RAFAELA ANDRADE CAVALCANTE</t>
  </si>
  <si>
    <t>16.327,91</t>
  </si>
  <si>
    <t>4.200,00</t>
  </si>
  <si>
    <t>1.1.1.3.01.006537</t>
  </si>
  <si>
    <t>JORGE FIRMINO LEME LTDA</t>
  </si>
  <si>
    <t>27.000,00</t>
  </si>
  <si>
    <t>14.200,00</t>
  </si>
  <si>
    <t>5.200,00</t>
  </si>
  <si>
    <t>1.1.1.3.01.006540</t>
  </si>
  <si>
    <t>DEGE DISTRIBUIDORA DE ALIMENTOS E BEBIDA</t>
  </si>
  <si>
    <t>22.650,00</t>
  </si>
  <si>
    <t>4.350,00</t>
  </si>
  <si>
    <t>18.300,00</t>
  </si>
  <si>
    <t>1.1.1.3.01.006556</t>
  </si>
  <si>
    <t>RAFAEL MIGUEL</t>
  </si>
  <si>
    <t>714,34</t>
  </si>
  <si>
    <t>1.1.1.3.01.006562</t>
  </si>
  <si>
    <t>IRMAOS RIBEIRO SERVICOS DE TERRAPLANAGEM</t>
  </si>
  <si>
    <t>10.500,00</t>
  </si>
  <si>
    <t>5.179,65</t>
  </si>
  <si>
    <t>5.320,35</t>
  </si>
  <si>
    <t>1.1.1.3.01.006563</t>
  </si>
  <si>
    <t>RB TRATOR PECAS LTDA</t>
  </si>
  <si>
    <t>216.110,23</t>
  </si>
  <si>
    <t>66.922,59</t>
  </si>
  <si>
    <t>65.116,83</t>
  </si>
  <si>
    <t>91.570,81</t>
  </si>
  <si>
    <t>1.1.1.3.01.006567</t>
  </si>
  <si>
    <t>16.540,84</t>
  </si>
  <si>
    <t>11.141,68</t>
  </si>
  <si>
    <t>1.799,72</t>
  </si>
  <si>
    <t>3.599,44</t>
  </si>
  <si>
    <t>1.1.1.3.01.006573</t>
  </si>
  <si>
    <t>RENAN FLOR ROBERTO 21717174833</t>
  </si>
  <si>
    <t>12.500,00</t>
  </si>
  <si>
    <t>7.320,35</t>
  </si>
  <si>
    <t>1.1.1.3.01.006586</t>
  </si>
  <si>
    <t>SANEAR CONSTRUTORA LTDA</t>
  </si>
  <si>
    <t>1.1.1.3.01.006601</t>
  </si>
  <si>
    <t>ITAIPU TERRAPLANAGEM</t>
  </si>
  <si>
    <t>26.491,43</t>
  </si>
  <si>
    <t>20,00</t>
  </si>
  <si>
    <t>1.1.1.3.01.006603</t>
  </si>
  <si>
    <t>C S DOS SANTOS PEREIRA ALUGUEL DE MAQUINAS E EQUIP</t>
  </si>
  <si>
    <t>23.000,00</t>
  </si>
  <si>
    <t>863,74</t>
  </si>
  <si>
    <t>1.1.1.3.01.006610</t>
  </si>
  <si>
    <t>SILLAS BARBOSA SOBRAL</t>
  </si>
  <si>
    <t>26.694,21</t>
  </si>
  <si>
    <t>26.343,50</t>
  </si>
  <si>
    <t>350,71</t>
  </si>
  <si>
    <t>1.1.1.3.01.006641</t>
  </si>
  <si>
    <t>DALCA COMPONENTES INDUSTRIAIS LTDA</t>
  </si>
  <si>
    <t>1.247,96</t>
  </si>
  <si>
    <t>773,04</t>
  </si>
  <si>
    <t>1.1.1.3.01.006662</t>
  </si>
  <si>
    <t>GARCIA MAIS FLORESTAL LTDA</t>
  </si>
  <si>
    <t>32.320,42</t>
  </si>
  <si>
    <t>7.932,74</t>
  </si>
  <si>
    <t>8.522,19</t>
  </si>
  <si>
    <t>15.865,49</t>
  </si>
  <si>
    <t>1.1.1.3.01.006667</t>
  </si>
  <si>
    <t>SOUZA E FILHOS LOCACAO DE EQUIPAMENTOS L</t>
  </si>
  <si>
    <t>2.842,88</t>
  </si>
  <si>
    <t>1.1.1.3.01.006682</t>
  </si>
  <si>
    <t>TC TRANSPORTE E LOCACOES LTDA</t>
  </si>
  <si>
    <t>1.680,78</t>
  </si>
  <si>
    <t>840,39</t>
  </si>
  <si>
    <t>1.1.1.3.01.006683</t>
  </si>
  <si>
    <t>MATHEUS LUIS DO NASCIMENTO</t>
  </si>
  <si>
    <t>4.830,56</t>
  </si>
  <si>
    <t>4.724,18</t>
  </si>
  <si>
    <t>106,38</t>
  </si>
  <si>
    <t>1.1.1.3.01.006695</t>
  </si>
  <si>
    <t>BRUNO CESAR ZAIKOSKI DOS SANTOS</t>
  </si>
  <si>
    <t>1.112,50</t>
  </si>
  <si>
    <t>875,77</t>
  </si>
  <si>
    <t>1.1.1.3.01.006726</t>
  </si>
  <si>
    <t>NOVA AURORA DE PARAGUACU LTDA</t>
  </si>
  <si>
    <t>22.053,40</t>
  </si>
  <si>
    <t>16.540,05</t>
  </si>
  <si>
    <t>5.513,35</t>
  </si>
  <si>
    <t>1.1.1.3.01.006754</t>
  </si>
  <si>
    <t>BAURU BUSINESS LTDA</t>
  </si>
  <si>
    <t>12.674,96</t>
  </si>
  <si>
    <t>1.1.1.3.01.006789</t>
  </si>
  <si>
    <t>WAGNER LOPES CAPAO BONITO</t>
  </si>
  <si>
    <t>39.767,31</t>
  </si>
  <si>
    <t>8.200,00</t>
  </si>
  <si>
    <t>1.1.1.3.01.006802</t>
  </si>
  <si>
    <t>111301006802</t>
  </si>
  <si>
    <t>540,00</t>
  </si>
  <si>
    <t>1.1.1.3.01.006804</t>
  </si>
  <si>
    <t>B.P. CENTRO DE RECICLAGEM LTDA</t>
  </si>
  <si>
    <t>12.492,73</t>
  </si>
  <si>
    <t>12.492,72</t>
  </si>
  <si>
    <t>1.1.1.3.01.006834</t>
  </si>
  <si>
    <t>CONSTRUPAR EMPREENDIMENTOS IMOBILIARIOS LTDA</t>
  </si>
  <si>
    <t>1.301,38</t>
  </si>
  <si>
    <t>1.1.1.3.01.006887</t>
  </si>
  <si>
    <t>ESQUADRIAS MARTINY LTDA.</t>
  </si>
  <si>
    <t>3.483,33</t>
  </si>
  <si>
    <t>1.1.1.3.01.006895</t>
  </si>
  <si>
    <t>SOS TRUCKS LTDA</t>
  </si>
  <si>
    <t>4.589,28</t>
  </si>
  <si>
    <t>4.422,99</t>
  </si>
  <si>
    <t>166,29</t>
  </si>
  <si>
    <t>1.1.1.3.01.006955</t>
  </si>
  <si>
    <t>TELAS TELAR PAVIMENTACAO E TERRAPLANAGEM LTDA</t>
  </si>
  <si>
    <t>18.780,05</t>
  </si>
  <si>
    <t>9.061,89</t>
  </si>
  <si>
    <t>9.718,16</t>
  </si>
  <si>
    <t>1.1.1.3.01.007033</t>
  </si>
  <si>
    <t>RRD COMERCIO E IMPORTACAO DE PECAS DE MAQUINAS PES</t>
  </si>
  <si>
    <t>14.138,90</t>
  </si>
  <si>
    <t>8.813,90</t>
  </si>
  <si>
    <t>1.775,00</t>
  </si>
  <si>
    <t>3.550,00</t>
  </si>
  <si>
    <t>1.1.1.3.01.007041</t>
  </si>
  <si>
    <t>HIDRAULICA ATALAIA COMERCIO E SERVICOS LTDA</t>
  </si>
  <si>
    <t>12.395,00</t>
  </si>
  <si>
    <t>4.360,74</t>
  </si>
  <si>
    <t>1.1.1.3.01.007071</t>
  </si>
  <si>
    <t>LUCIANO TERRA SANTANA</t>
  </si>
  <si>
    <t>11.364,22</t>
  </si>
  <si>
    <t>11.056,54</t>
  </si>
  <si>
    <t>307,68</t>
  </si>
  <si>
    <t>1.1.1.3.01.007093</t>
  </si>
  <si>
    <t>MOVA PESADOS MAQUINAS E PECAS LTDA</t>
  </si>
  <si>
    <t>18.554,18</t>
  </si>
  <si>
    <t>11.823,41</t>
  </si>
  <si>
    <t>22.425,91</t>
  </si>
  <si>
    <t>5.624,77</t>
  </si>
  <si>
    <t>23.531,91</t>
  </si>
  <si>
    <t>1.1.1.3.01.007100</t>
  </si>
  <si>
    <t>T F PEIXOTO ENGENHARIA LTDA</t>
  </si>
  <si>
    <t>14.800,00</t>
  </si>
  <si>
    <t>12.404,36</t>
  </si>
  <si>
    <t>2.395,64</t>
  </si>
  <si>
    <t>1.1.1.3.01.007128</t>
  </si>
  <si>
    <t>AXYS SISTEMAS HIDRAULICOS LTDA</t>
  </si>
  <si>
    <t>8.802,29</t>
  </si>
  <si>
    <t>4.348,87</t>
  </si>
  <si>
    <t>3.183,89</t>
  </si>
  <si>
    <t>2.469,53</t>
  </si>
  <si>
    <t>1.1.1.3.01.007140</t>
  </si>
  <si>
    <t>CHAPECO COMERCIO DE PECAS E MAQUINAS</t>
  </si>
  <si>
    <t>30.391,72</t>
  </si>
  <si>
    <t>20.601,55</t>
  </si>
  <si>
    <t>4.895,08</t>
  </si>
  <si>
    <t>4.895,09</t>
  </si>
  <si>
    <t>1.1.1.3.01.007143</t>
  </si>
  <si>
    <t>JORGE VALDO DE SOUZA SANTOS</t>
  </si>
  <si>
    <t>65.278,99</t>
  </si>
  <si>
    <t>58.314,84</t>
  </si>
  <si>
    <t>7.384,78</t>
  </si>
  <si>
    <t>6.964,15</t>
  </si>
  <si>
    <t>1.1.1.3.01.007147</t>
  </si>
  <si>
    <t>ARMAC LOCACAO, LOGISTICA E SERVICOS S.A.</t>
  </si>
  <si>
    <t>62.001,29</t>
  </si>
  <si>
    <t>57.495,19</t>
  </si>
  <si>
    <t>4.506,10</t>
  </si>
  <si>
    <t>1.1.1.3.01.007149</t>
  </si>
  <si>
    <t>LIDER SERVICOS HIDRAULICOS LTDA</t>
  </si>
  <si>
    <t>21.261,41</t>
  </si>
  <si>
    <t>15.696,75</t>
  </si>
  <si>
    <t>5.564,66</t>
  </si>
  <si>
    <t>1.1.1.3.01.007175</t>
  </si>
  <si>
    <t>LIMPIDOZ PRESTADORA DE SERVICOS INDUSTRIAIS LTDA</t>
  </si>
  <si>
    <t>15.348,93</t>
  </si>
  <si>
    <t>6.862,77</t>
  </si>
  <si>
    <t>8.486,16</t>
  </si>
  <si>
    <t>1.1.1.3.01.007182</t>
  </si>
  <si>
    <t>THESCO MECANICA DE VEICULOS DIESEL LTDA</t>
  </si>
  <si>
    <t>13.413,74</t>
  </si>
  <si>
    <t>1.1.1.3.01.007184</t>
  </si>
  <si>
    <t>GF TRATOR PECAS E SERVICOS LTDA</t>
  </si>
  <si>
    <t>9.691,00</t>
  </si>
  <si>
    <t>3.691,00</t>
  </si>
  <si>
    <t>1.1.1.3.01.007193</t>
  </si>
  <si>
    <t>TERRAPLAN PRESTACAO DE SERVICO E GESTAO DE EMPREEN</t>
  </si>
  <si>
    <t>4.164,94</t>
  </si>
  <si>
    <t>2.776,62</t>
  </si>
  <si>
    <t>1.388,32</t>
  </si>
  <si>
    <t>1.1.1.3.01.007203</t>
  </si>
  <si>
    <t>AGM OLEO HIDRAULICA LTDA</t>
  </si>
  <si>
    <t>43.646,31</t>
  </si>
  <si>
    <t>5.416,43</t>
  </si>
  <si>
    <t>38.229,88</t>
  </si>
  <si>
    <t>1.1.1.3.01.007267</t>
  </si>
  <si>
    <t>HN COMERCIO</t>
  </si>
  <si>
    <t>3.195,45</t>
  </si>
  <si>
    <t>1.599,25</t>
  </si>
  <si>
    <t>1.596,20</t>
  </si>
  <si>
    <t>1.1.1.3.01.007270</t>
  </si>
  <si>
    <t>SUL AMERICA EXPORTADORA LTDA</t>
  </si>
  <si>
    <t>14.080,00</t>
  </si>
  <si>
    <t>1.1.1.3.01.007300</t>
  </si>
  <si>
    <t>L. L. DA SILVA SOUZA LTDA</t>
  </si>
  <si>
    <t>11.972,38</t>
  </si>
  <si>
    <t>5.986,19</t>
  </si>
  <si>
    <t>1.1.1.3.01.007313</t>
  </si>
  <si>
    <t>FG 2 ALUGUEL DE MAQUINAS E COMERCIO DE MATERIAL DE</t>
  </si>
  <si>
    <t>16.944,74</t>
  </si>
  <si>
    <t>10.796,72</t>
  </si>
  <si>
    <t>4.130,73</t>
  </si>
  <si>
    <t>2.017,29</t>
  </si>
  <si>
    <t>1.1.1.3.01.007317</t>
  </si>
  <si>
    <t>ARILDO DINIZ DE OLIVEIRA</t>
  </si>
  <si>
    <t>1.090,29</t>
  </si>
  <si>
    <t>1.1.1.3.01.007329</t>
  </si>
  <si>
    <t>GRAN-AMAPA DO BRASIL IMPORTACAO &amp; EXPORTACAO LTDA</t>
  </si>
  <si>
    <t>2.060,71</t>
  </si>
  <si>
    <t>325,80</t>
  </si>
  <si>
    <t>1.734,91</t>
  </si>
  <si>
    <t>1.1.1.3.01.007338</t>
  </si>
  <si>
    <t>FABIANO ANDRE DUMMER</t>
  </si>
  <si>
    <t>3.045,87</t>
  </si>
  <si>
    <t>2.012,07</t>
  </si>
  <si>
    <t>1.033,80</t>
  </si>
  <si>
    <t>1.1.1.3.01.007340</t>
  </si>
  <si>
    <t>ILMAR COSTA DE SOUSA</t>
  </si>
  <si>
    <t>6.759,81</t>
  </si>
  <si>
    <t>3.532,92</t>
  </si>
  <si>
    <t>3.226,89</t>
  </si>
  <si>
    <t>1.1.1.3.01.007343</t>
  </si>
  <si>
    <t>GRAMAZINI GRANITOS E MARMORES THOMAZINI LTDA</t>
  </si>
  <si>
    <t>76.000,05</t>
  </si>
  <si>
    <t>40.500,01</t>
  </si>
  <si>
    <t>24.500,02</t>
  </si>
  <si>
    <t>20.000,02</t>
  </si>
  <si>
    <t>1.1.1.3.01.007362</t>
  </si>
  <si>
    <t>LCVG - SERVICOS ON-SHORE &amp; OFF-SHORE LTDA</t>
  </si>
  <si>
    <t>8.500,01</t>
  </si>
  <si>
    <t>4.250,00</t>
  </si>
  <si>
    <t>4.250,01</t>
  </si>
  <si>
    <t>1.1.1.3.01.007364</t>
  </si>
  <si>
    <t>WL COMERCIO DE PECAS AUTOMOTIVAS E LOCACAO DE EQUI</t>
  </si>
  <si>
    <t>21.516,80</t>
  </si>
  <si>
    <t>16.137,60</t>
  </si>
  <si>
    <t>2.689,60</t>
  </si>
  <si>
    <t>1.1.1.3.01.007374</t>
  </si>
  <si>
    <t>L B MAQUINAS LTDA</t>
  </si>
  <si>
    <t>7.366,15</t>
  </si>
  <si>
    <t>5.416,88</t>
  </si>
  <si>
    <t>1.949,27</t>
  </si>
  <si>
    <t>1.1.1.3.01.007378</t>
  </si>
  <si>
    <t>DNAFIX DISTRIBUIDORA DE PECAS E FERRAGENS LTDA</t>
  </si>
  <si>
    <t>3.534,44</t>
  </si>
  <si>
    <t>869,56</t>
  </si>
  <si>
    <t>2.664,88</t>
  </si>
  <si>
    <t>1.1.1.3.01.007384</t>
  </si>
  <si>
    <t>RV SERVICOS E LIMPEZA URBANA LTDA</t>
  </si>
  <si>
    <t>19.329,59</t>
  </si>
  <si>
    <t>6.444,67</t>
  </si>
  <si>
    <t>4.294,97</t>
  </si>
  <si>
    <t>8.589,95</t>
  </si>
  <si>
    <t>1.1.1.3.01.007387</t>
  </si>
  <si>
    <t>EVERALDO RIBEIRO DE SOUZA 10923408665</t>
  </si>
  <si>
    <t>6.013,40</t>
  </si>
  <si>
    <t>1.222,35</t>
  </si>
  <si>
    <t>4.791,05</t>
  </si>
  <si>
    <t>1.1.1.3.01.007393</t>
  </si>
  <si>
    <t>RAFAEL SPOSITO CALANDRIN</t>
  </si>
  <si>
    <t>9.309,19</t>
  </si>
  <si>
    <t>7.544,53</t>
  </si>
  <si>
    <t>1.083,91</t>
  </si>
  <si>
    <t>882,33</t>
  </si>
  <si>
    <t>1.966,24</t>
  </si>
  <si>
    <t>1.1.1.3.01.007437</t>
  </si>
  <si>
    <t>SUPERACAO SERVICOS E LOCACOES LTDA</t>
  </si>
  <si>
    <t>2.942,59</t>
  </si>
  <si>
    <t>2.904,19</t>
  </si>
  <si>
    <t>126,97</t>
  </si>
  <si>
    <t>38,40</t>
  </si>
  <si>
    <t>1.1.1.3.01.007449</t>
  </si>
  <si>
    <t>MHM COMERCIO DE MAQUINAS AGRICOLAS LTDA</t>
  </si>
  <si>
    <t>7.874,10</t>
  </si>
  <si>
    <t>1.1.1.3.01.007452</t>
  </si>
  <si>
    <t>J B DE SALES - FREIOS E COMPONENTES LTDA</t>
  </si>
  <si>
    <t>394,33</t>
  </si>
  <si>
    <t>1.1.1.3.01.007458</t>
  </si>
  <si>
    <t>TERRA POINT TRANSPORTES E LOCACAO DE MAQUINAS E EQ</t>
  </si>
  <si>
    <t>4.084,83</t>
  </si>
  <si>
    <t>1.1.1.3.01.007477</t>
  </si>
  <si>
    <t>ILDA PEREIRA SANGE 10924674750</t>
  </si>
  <si>
    <t>14.000,00</t>
  </si>
  <si>
    <t>10.660,00</t>
  </si>
  <si>
    <t>2.640,00</t>
  </si>
  <si>
    <t>700,00</t>
  </si>
  <si>
    <t>1.1.1.3.01.007527</t>
  </si>
  <si>
    <t>WDS TRATOR PECAS LTDA</t>
  </si>
  <si>
    <t>31.884,15</t>
  </si>
  <si>
    <t>29.264,44</t>
  </si>
  <si>
    <t>1.309,86</t>
  </si>
  <si>
    <t>1.309,85</t>
  </si>
  <si>
    <t>1.1.1.3.01.007530</t>
  </si>
  <si>
    <t>SACCOMANNO DISTRIBUIDORA DE MAQUINAS LTDA</t>
  </si>
  <si>
    <t>60.561,28</t>
  </si>
  <si>
    <t>20.668,99</t>
  </si>
  <si>
    <t>4.333,33</t>
  </si>
  <si>
    <t>40.758,96</t>
  </si>
  <si>
    <t>1.1.1.3.01.007534</t>
  </si>
  <si>
    <t>58.881.957 YAN SARTORIO SOARES</t>
  </si>
  <si>
    <t>2.200,00</t>
  </si>
  <si>
    <t>1.1.1.3.01.007560</t>
  </si>
  <si>
    <t>EH EQUIPAMENTOS ASSISTENCIA TECNICA E LOCACAO LTDA</t>
  </si>
  <si>
    <t>16.049,46</t>
  </si>
  <si>
    <t>8.024,72</t>
  </si>
  <si>
    <t>8.024,74</t>
  </si>
  <si>
    <t>1.1.1.3.01.007585</t>
  </si>
  <si>
    <t>VS HIDRAULICA E EQUIPAMENTOS LTDA</t>
  </si>
  <si>
    <t>8.732,14</t>
  </si>
  <si>
    <t>7.549,09</t>
  </si>
  <si>
    <t>1.183,05</t>
  </si>
  <si>
    <t>1.1.1.3.01.007587</t>
  </si>
  <si>
    <t>MM PNEUS CENTRO AUTOMOTIVO LTDA</t>
  </si>
  <si>
    <t>5.250,00</t>
  </si>
  <si>
    <t>2.625,00</t>
  </si>
  <si>
    <t>13.125,00</t>
  </si>
  <si>
    <t>1.1.1.3.01.007602</t>
  </si>
  <si>
    <t>IRON PARTS SOLUCOES E SERVICOS LTDA</t>
  </si>
  <si>
    <t>189.417,84</t>
  </si>
  <si>
    <t>187.084,50</t>
  </si>
  <si>
    <t>188,94</t>
  </si>
  <si>
    <t>2.333,34</t>
  </si>
  <si>
    <t>1.1.1.3.01.007607</t>
  </si>
  <si>
    <t>MACROMAQ EQUIPAMENTOS LTDA</t>
  </si>
  <si>
    <t>11.427,01</t>
  </si>
  <si>
    <t>2.856,75</t>
  </si>
  <si>
    <t>8.570,26</t>
  </si>
  <si>
    <t>1.1.1.3.01.007609</t>
  </si>
  <si>
    <t>2D COMERCIO E SERVICOS RJ LTDA</t>
  </si>
  <si>
    <t>32.854,39</t>
  </si>
  <si>
    <t>11.940,80</t>
  </si>
  <si>
    <t>8.213,59</t>
  </si>
  <si>
    <t>12.700,00</t>
  </si>
  <si>
    <t>1.1.1.3.01.007628</t>
  </si>
  <si>
    <t>ROLFAYA EXTRACAO E BRITAGEM LTDA</t>
  </si>
  <si>
    <t>70.757,94</t>
  </si>
  <si>
    <t>35.757,94</t>
  </si>
  <si>
    <t>35.000,00</t>
  </si>
  <si>
    <t>1.1.1.3.01.007650</t>
  </si>
  <si>
    <t>CERAMICA MAJOPE LTDA</t>
  </si>
  <si>
    <t>35.208,00</t>
  </si>
  <si>
    <t>30.807,00</t>
  </si>
  <si>
    <t>4.401,00</t>
  </si>
  <si>
    <t>1.1.1.3.01.007656</t>
  </si>
  <si>
    <t>CONSTRUTORA MIRIM LTDA</t>
  </si>
  <si>
    <t>20.750,00</t>
  </si>
  <si>
    <t>8.550,00</t>
  </si>
  <si>
    <t>5.866,67</t>
  </si>
  <si>
    <t>6.333,33</t>
  </si>
  <si>
    <t>1.1.1.3.01.007660</t>
  </si>
  <si>
    <t>MULTPECAS LTDA</t>
  </si>
  <si>
    <t>11.435,79</t>
  </si>
  <si>
    <t>8.576,85</t>
  </si>
  <si>
    <t>2.858,94</t>
  </si>
  <si>
    <t>1.1.1.3.01.007670</t>
  </si>
  <si>
    <t>INDUSTRIA, COMERCIO E DISTRIBUIDORA JDF DE PECAS L</t>
  </si>
  <si>
    <t>45.598,00</t>
  </si>
  <si>
    <t>22.799,00</t>
  </si>
  <si>
    <t>11.399,50</t>
  </si>
  <si>
    <t>1.1.1.3.01.007675</t>
  </si>
  <si>
    <t>D MORETH DROGARIAS LTDA</t>
  </si>
  <si>
    <t>25.380,00</t>
  </si>
  <si>
    <t>10.152,00</t>
  </si>
  <si>
    <t>5.076,00</t>
  </si>
  <si>
    <t>1.1.1.3.01.007736</t>
  </si>
  <si>
    <t>HD TERRAPLANAGEM LTDA</t>
  </si>
  <si>
    <t>27.257,00</t>
  </si>
  <si>
    <t>18.590,34</t>
  </si>
  <si>
    <t>8.666,66</t>
  </si>
  <si>
    <t>1.1.1.3.01.007739</t>
  </si>
  <si>
    <t>NOVA TASTRACTOR COMERCIO DE PECAS LTDA</t>
  </si>
  <si>
    <t>13.500,00</t>
  </si>
  <si>
    <t>6.750,00</t>
  </si>
  <si>
    <t>3.375,00</t>
  </si>
  <si>
    <t>1.1.1.3.01.007744</t>
  </si>
  <si>
    <t>LESTE OESTE COMPONENTES LTDA</t>
  </si>
  <si>
    <t>32.894,56</t>
  </si>
  <si>
    <t>9.446,55</t>
  </si>
  <si>
    <t>23.448,01</t>
  </si>
  <si>
    <t>1.1.1.3.01.007759</t>
  </si>
  <si>
    <t>G R DUARTE MINERACAO LTDA</t>
  </si>
  <si>
    <t>9.071,63</t>
  </si>
  <si>
    <t>6.047,76</t>
  </si>
  <si>
    <t>3.023,87</t>
  </si>
  <si>
    <t>6.047,74</t>
  </si>
  <si>
    <t>1.1.1.3.01.007769</t>
  </si>
  <si>
    <t>ERGERE ENGENHARIA LTDA</t>
  </si>
  <si>
    <t>19.974,00</t>
  </si>
  <si>
    <t>4.993,50</t>
  </si>
  <si>
    <t>9.987,00</t>
  </si>
  <si>
    <t>1.1.1.3.01.007789</t>
  </si>
  <si>
    <t>CADU SERVICOS ESPECIALIZADOS E VENDAS LTDA</t>
  </si>
  <si>
    <t>11.173,44</t>
  </si>
  <si>
    <t>171,64</t>
  </si>
  <si>
    <t>1.1.1.3.01.007790</t>
  </si>
  <si>
    <t>RECIFER AMBIENTAL LTDA</t>
  </si>
  <si>
    <t>2.172,01</t>
  </si>
  <si>
    <t>1.086,01</t>
  </si>
  <si>
    <t>1.086,00</t>
  </si>
  <si>
    <t>1.1.1.3.01.007811</t>
  </si>
  <si>
    <t>PALLEBRAS INDUSTRIA E COMERCIO DE EMBALAGENS DE MA</t>
  </si>
  <si>
    <t>16.786,57</t>
  </si>
  <si>
    <t>4.196,64</t>
  </si>
  <si>
    <t>8.393,29</t>
  </si>
  <si>
    <t>1.1.1.3.01.007817</t>
  </si>
  <si>
    <t>SIMONE ABREU DE ALMEIDA</t>
  </si>
  <si>
    <t>1.557,63</t>
  </si>
  <si>
    <t>6.846,76</t>
  </si>
  <si>
    <t>1.450,99</t>
  </si>
  <si>
    <t>5.395,77</t>
  </si>
  <si>
    <t>1.1.1.3.01.007861</t>
  </si>
  <si>
    <t>LUMA CONSTRUTORA E PAVIMENTADORA LTDA</t>
  </si>
  <si>
    <t>13.075,11</t>
  </si>
  <si>
    <t>1.1.1.3.01.007871</t>
  </si>
  <si>
    <t>ITR SOUTH AMERICA COMERCIO IMPORTACAO E EXPORTACAO</t>
  </si>
  <si>
    <t>10.770,84</t>
  </si>
  <si>
    <t>2.692,71</t>
  </si>
  <si>
    <t>5.385,42</t>
  </si>
  <si>
    <t>1.1.1.3.01.007877</t>
  </si>
  <si>
    <t>MORUMBI TRACTOR EQUIPAMENTOS E PECAS LTDA</t>
  </si>
  <si>
    <t>25.292,18</t>
  </si>
  <si>
    <t>6.323,05</t>
  </si>
  <si>
    <t>18.969,13</t>
  </si>
  <si>
    <t>1.1.1.3.01.007883</t>
  </si>
  <si>
    <t>FURLANETTO TERRAPLENAGEM LTDA</t>
  </si>
  <si>
    <t>11.380,00</t>
  </si>
  <si>
    <t>2.845,00</t>
  </si>
  <si>
    <t>5.690,00</t>
  </si>
  <si>
    <t>1.1.1.3.01.007891</t>
  </si>
  <si>
    <t>LYON COMERCIO DE PECAS PARA TRATORES LTDA</t>
  </si>
  <si>
    <t>786,90</t>
  </si>
  <si>
    <t>1.1.1.3.01.007901</t>
  </si>
  <si>
    <t>VIA FACIL LTDA</t>
  </si>
  <si>
    <t>30.000,00</t>
  </si>
  <si>
    <t>3.000,00</t>
  </si>
  <si>
    <t>1.1.1.3.01.007903</t>
  </si>
  <si>
    <t>PEDREIRA IJUHY LTDA</t>
  </si>
  <si>
    <t>14.510,00</t>
  </si>
  <si>
    <t>19.733,20</t>
  </si>
  <si>
    <t>10.059,87</t>
  </si>
  <si>
    <t>24.183,33</t>
  </si>
  <si>
    <t>1.1.1.3.01.007911</t>
  </si>
  <si>
    <t>WILLIAM OCHNER TRUZZI</t>
  </si>
  <si>
    <t>1.548,74</t>
  </si>
  <si>
    <t>1.1.1.3.01.007915</t>
  </si>
  <si>
    <t>PEGEPECAS IMPORTACAO COMERCIO DE PECAS E SERVICOS</t>
  </si>
  <si>
    <t>32.000,00</t>
  </si>
  <si>
    <t>6.400,00</t>
  </si>
  <si>
    <t>25.600,00</t>
  </si>
  <si>
    <t>1.1.1.3.01.007921</t>
  </si>
  <si>
    <t>EMPPARTS TRATORES LTDA</t>
  </si>
  <si>
    <t>131.832,76</t>
  </si>
  <si>
    <t>163,73</t>
  </si>
  <si>
    <t>146.142,55</t>
  </si>
  <si>
    <t>48.628,49</t>
  </si>
  <si>
    <t>229.183,09</t>
  </si>
  <si>
    <t>1.1.1.3.01.007924</t>
  </si>
  <si>
    <t>VALDECIR GOBES DOS SANTOS</t>
  </si>
  <si>
    <t>20.484,89</t>
  </si>
  <si>
    <t>1.1.1.3.01.007930</t>
  </si>
  <si>
    <t>MB TRANSPORTES E ENERGIAS RENOVAVEIS LTDA</t>
  </si>
  <si>
    <t>7.690,00</t>
  </si>
  <si>
    <t>1.1.1.3.01.007933</t>
  </si>
  <si>
    <t>RENAN FERNANDES PIAS</t>
  </si>
  <si>
    <t>2.659,08</t>
  </si>
  <si>
    <t>1.329,54</t>
  </si>
  <si>
    <t>1.1.1.3.01.007937</t>
  </si>
  <si>
    <t>C R R FILHO MATERIAL DE CONSTRUCAO LTDA</t>
  </si>
  <si>
    <t>22.317,85</t>
  </si>
  <si>
    <t>10.317,76</t>
  </si>
  <si>
    <t>9.000,09</t>
  </si>
  <si>
    <t>1.1.1.3.01.007941</t>
  </si>
  <si>
    <t>FALABRETTI MAQUINAS RODOVIARIAS LTDA</t>
  </si>
  <si>
    <t>7.217,04</t>
  </si>
  <si>
    <t>6.518,50</t>
  </si>
  <si>
    <t>698,54</t>
  </si>
  <si>
    <t>1.1.1.3.01.007943</t>
  </si>
  <si>
    <t>MK1 COMERCIO E DISTRIBUICAO DE PECAS AUTOMOTIVAS L</t>
  </si>
  <si>
    <t>8.940,49</t>
  </si>
  <si>
    <t>5.960,32</t>
  </si>
  <si>
    <t>2.980,17</t>
  </si>
  <si>
    <t>1.1.1.3.01.007974</t>
  </si>
  <si>
    <t>ATHOS LOCACOES LTDA</t>
  </si>
  <si>
    <t>3.250,00</t>
  </si>
  <si>
    <t>9.750,00</t>
  </si>
  <si>
    <t>1.1.1.3.01.008001</t>
  </si>
  <si>
    <t>CERAMICA QUALITY LTDA</t>
  </si>
  <si>
    <t>4.942,94</t>
  </si>
  <si>
    <t>220,00</t>
  </si>
  <si>
    <t>1.180,73</t>
  </si>
  <si>
    <t>3.542,21</t>
  </si>
  <si>
    <t>1.1.1.3.01.008006</t>
  </si>
  <si>
    <t>CORTEVO LTDA</t>
  </si>
  <si>
    <t>7.700,00</t>
  </si>
  <si>
    <t>1.925,00</t>
  </si>
  <si>
    <t>5.775,00</t>
  </si>
  <si>
    <t>1.1.1.3.01.008014</t>
  </si>
  <si>
    <t>VRENTAL LOCACAO DE MAQUINAS E EQUIPAMENTOS S/A</t>
  </si>
  <si>
    <t>931,37</t>
  </si>
  <si>
    <t>1.1.1.3.01.008018</t>
  </si>
  <si>
    <t>BRAZIL EQUIPAMENTOS E MAQUINAS PESADAS LTDA</t>
  </si>
  <si>
    <t>4.680,00</t>
  </si>
  <si>
    <t>1.560,00</t>
  </si>
  <si>
    <t>3.120,00</t>
  </si>
  <si>
    <t>1.1.1.3.01.008026</t>
  </si>
  <si>
    <t>RESIDENCIAL JARDIM TROPICAL LTDA</t>
  </si>
  <si>
    <t>951,28</t>
  </si>
  <si>
    <t>1.1.1.3.01.008029</t>
  </si>
  <si>
    <t>TT CERQUEIRA LOCACOES &amp; TERRAPLANAGENS LTDA</t>
  </si>
  <si>
    <t>2.155,06</t>
  </si>
  <si>
    <t>910,94</t>
  </si>
  <si>
    <t>1.1.1.3.01.008032</t>
  </si>
  <si>
    <t>MARCOS JAIR EICHSTADT EICHELT</t>
  </si>
  <si>
    <t>1.221,02</t>
  </si>
  <si>
    <t>917,86</t>
  </si>
  <si>
    <t>1.1.1.3.01.008034</t>
  </si>
  <si>
    <t>D. W. DE S. TRANSPORTES E LOCACAO DE MAQUINAS LTDA</t>
  </si>
  <si>
    <t>1.635,13</t>
  </si>
  <si>
    <t>1.635,23</t>
  </si>
  <si>
    <t>1.1.1.3.01.008041</t>
  </si>
  <si>
    <t>GELCI LEANDRO PFAFF</t>
  </si>
  <si>
    <t>9.706,61</t>
  </si>
  <si>
    <t>1.643,39</t>
  </si>
  <si>
    <t>1.1.1.3.01.008050</t>
  </si>
  <si>
    <t>TCE ENGENHARIA LTDA</t>
  </si>
  <si>
    <t>1.121,21</t>
  </si>
  <si>
    <t>1.1.1.3.01.008060</t>
  </si>
  <si>
    <t>PRO PAVERS LTDA</t>
  </si>
  <si>
    <t>3.287,11</t>
  </si>
  <si>
    <t>1.282,25</t>
  </si>
  <si>
    <t>1.1.1.3.01.008064</t>
  </si>
  <si>
    <t>TERRA RICA - INDUSTRIA E COMERCIO DE CALCARIOS E F</t>
  </si>
  <si>
    <t>371,54</t>
  </si>
  <si>
    <t>1.1.1.3.01.008069</t>
  </si>
  <si>
    <t>MARYMOBILE COMERCIO E SERVICOS LTDA</t>
  </si>
  <si>
    <t>6.100,00</t>
  </si>
  <si>
    <t>1.1.1.3.01.008072</t>
  </si>
  <si>
    <t>FORT TERRAPLENAGEM LOCACOES E COMERCIO DE PECAS LT</t>
  </si>
  <si>
    <t>20.700,00</t>
  </si>
  <si>
    <t>1.1.1.3.01.008078</t>
  </si>
  <si>
    <t>SBN TERRAPLANAGEM E SERVICOS LTDA</t>
  </si>
  <si>
    <t>1.1.1.3.01.008090</t>
  </si>
  <si>
    <t>DGR COMERCIO DE ROLAMENTOS LTDA</t>
  </si>
  <si>
    <t>715,24</t>
  </si>
  <si>
    <t>1.1.1.3.01.008093</t>
  </si>
  <si>
    <t>HIDRAUMAK MAQUINAS HIDRAULICAS LTDA</t>
  </si>
  <si>
    <t>1.055,62</t>
  </si>
  <si>
    <t>1.1.1.3.01.008094</t>
  </si>
  <si>
    <t>P E F TRANSPORTES LTDA</t>
  </si>
  <si>
    <t>16.926,80</t>
  </si>
  <si>
    <t>1.1.1.3.01.008097</t>
  </si>
  <si>
    <t>ANDERSON SALLES LIMA</t>
  </si>
  <si>
    <t>1.424,35</t>
  </si>
  <si>
    <t>1.1.1.3.01.008110</t>
  </si>
  <si>
    <t>AGROETECH CENTRO DE NEGOCIOS AGRICOLAS LTDA</t>
  </si>
  <si>
    <t>532,45</t>
  </si>
  <si>
    <t>1.1.1.3.01.008119</t>
  </si>
  <si>
    <t>MAPA CONSTRUTORA E SERVICOS LTDA</t>
  </si>
  <si>
    <t>33.310,44</t>
  </si>
  <si>
    <t>1.1.1.3.01.008129</t>
  </si>
  <si>
    <t>TRATORDIESEL PECAS LINHA AMARELA LTDA</t>
  </si>
  <si>
    <t>421,28</t>
  </si>
  <si>
    <t>1.1.1.3.01.008167</t>
  </si>
  <si>
    <t>MAB STEFFEN SERVICOS E LOCACAO LTDA</t>
  </si>
  <si>
    <t>581,91</t>
  </si>
  <si>
    <t>1.1.1.3.01.008169</t>
  </si>
  <si>
    <t>AVENIR LTDA</t>
  </si>
  <si>
    <t>1.244,02</t>
  </si>
  <si>
    <t>1.1.1.3.01.008183</t>
  </si>
  <si>
    <t>HERBERT DE SOUZA LTDA</t>
  </si>
  <si>
    <t>1.1.1.3.01.008198</t>
  </si>
  <si>
    <t>66.366.711 RODRIGO SANTIAGO DA SILVA</t>
  </si>
  <si>
    <t>880,00</t>
  </si>
  <si>
    <t>1.1.1.3.02</t>
  </si>
  <si>
    <t>CLIENTES - VENDAS PARA ENTREGA FUTURA</t>
  </si>
  <si>
    <t>665.089,44</t>
  </si>
  <si>
    <t>1.1.1.3.02.00001</t>
  </si>
  <si>
    <t>CLIENTES-VENDAS P/ENTREGA FUTURA</t>
  </si>
  <si>
    <t>10.856.721,92</t>
  </si>
  <si>
    <t>10.500.531,75</t>
  </si>
  <si>
    <t>384.108,56</t>
  </si>
  <si>
    <t>280.980,88</t>
  </si>
  <si>
    <t>459.317,85</t>
  </si>
  <si>
    <t>1.1.1.3.02.00002</t>
  </si>
  <si>
    <t>(-) FATURAMENTO P/ ENTREGA FUTURA</t>
  </si>
  <si>
    <t>1.1.1.3.90</t>
  </si>
  <si>
    <t>(-)PROV P/CREDITO DE LIQUIDACAO DUVIDOSA</t>
  </si>
  <si>
    <t>11.738,35</t>
  </si>
  <si>
    <t>1.1.1.3.90.00001</t>
  </si>
  <si>
    <t>1.1.1.5</t>
  </si>
  <si>
    <t>IMPOSTOS E CONTRIBUICOES A RECUPERAR</t>
  </si>
  <si>
    <t>124.865,81</t>
  </si>
  <si>
    <t>169.677,56</t>
  </si>
  <si>
    <t>139.466,79</t>
  </si>
  <si>
    <t>1.1.1.5.01</t>
  </si>
  <si>
    <t>IMPOSTOS A RECUPERAR</t>
  </si>
  <si>
    <t>121.076,48</t>
  </si>
  <si>
    <t>165.888,23</t>
  </si>
  <si>
    <t>113.586,91</t>
  </si>
  <si>
    <t>1.1.1.5.01.00001</t>
  </si>
  <si>
    <t>IRRF S/ APLICACAO FINANCEIRA</t>
  </si>
  <si>
    <t>153.599,29</t>
  </si>
  <si>
    <t>130.140,07</t>
  </si>
  <si>
    <t>23.835,45</t>
  </si>
  <si>
    <t>1.1.1.5.01.00005</t>
  </si>
  <si>
    <t>ICMS</t>
  </si>
  <si>
    <t>9.040.767,81</t>
  </si>
  <si>
    <t>8.956.928,61</t>
  </si>
  <si>
    <t>113.326,71</t>
  </si>
  <si>
    <t>134.287,88</t>
  </si>
  <si>
    <t>62.878,03</t>
  </si>
  <si>
    <t>1.1.1.5.01.00006</t>
  </si>
  <si>
    <t>ICMS S/ REM. E DEMO.</t>
  </si>
  <si>
    <t>58.556,42</t>
  </si>
  <si>
    <t>29.084,28</t>
  </si>
  <si>
    <t>267,03</t>
  </si>
  <si>
    <t>29.739,17</t>
  </si>
  <si>
    <t>1.1.1.5.01.00007</t>
  </si>
  <si>
    <t>IPI</t>
  </si>
  <si>
    <t>622.853,05</t>
  </si>
  <si>
    <t>621.732,76</t>
  </si>
  <si>
    <t>6.839,51</t>
  </si>
  <si>
    <t>7.764,90</t>
  </si>
  <si>
    <t>194,90</t>
  </si>
  <si>
    <t>1.1.1.5.01.00008</t>
  </si>
  <si>
    <t>ICMS ST</t>
  </si>
  <si>
    <t>25.169,12</t>
  </si>
  <si>
    <t>6.094,12</t>
  </si>
  <si>
    <t>19.075,00</t>
  </si>
  <si>
    <t>1.1.1.5.01.00009</t>
  </si>
  <si>
    <t>IPI S/ REM. E DEMO.</t>
  </si>
  <si>
    <t>11.313,49</t>
  </si>
  <si>
    <t>9.880,68</t>
  </si>
  <si>
    <t>267,00</t>
  </si>
  <si>
    <t>1.699,81</t>
  </si>
  <si>
    <t>1.1.1.5.02</t>
  </si>
  <si>
    <t>CONTRIBUICOES A RECUPERAR</t>
  </si>
  <si>
    <t>3.789,33</t>
  </si>
  <si>
    <t>1.1.1.5.02.00001</t>
  </si>
  <si>
    <t>COFINS</t>
  </si>
  <si>
    <t>168.543,97</t>
  </si>
  <si>
    <t>3.116,15</t>
  </si>
  <si>
    <t>1.1.1.5.02.00002</t>
  </si>
  <si>
    <t>PIS</t>
  </si>
  <si>
    <t>36.267,61</t>
  </si>
  <si>
    <t>673,18</t>
  </si>
  <si>
    <t>1.1.1.5.03</t>
  </si>
  <si>
    <t>IMPOSTOS C/ PEDIDO DE RESSARCIMENTO</t>
  </si>
  <si>
    <t>25.879,88</t>
  </si>
  <si>
    <t>1.1.1.5.03.00001</t>
  </si>
  <si>
    <t>PIS/COFINS PAGOS A MAIOR</t>
  </si>
  <si>
    <t>214.553,05</t>
  </si>
  <si>
    <t>188.673,17</t>
  </si>
  <si>
    <t>1.1.1.6</t>
  </si>
  <si>
    <t>ESTOQUES</t>
  </si>
  <si>
    <t>2.727.754,51</t>
  </si>
  <si>
    <t>2.902.394,86</t>
  </si>
  <si>
    <t>6.512.418,46</t>
  </si>
  <si>
    <t>1.1.1.6.01.00003</t>
  </si>
  <si>
    <t>ESTOQUE ARMAZENAGEM</t>
  </si>
  <si>
    <t>9.484.553,81</t>
  </si>
  <si>
    <t>9.408.287,45</t>
  </si>
  <si>
    <t>115.547,62</t>
  </si>
  <si>
    <t>85.459,06</t>
  </si>
  <si>
    <t>106.354,92</t>
  </si>
  <si>
    <t>1.1.1.6.02</t>
  </si>
  <si>
    <t>COMERCIAL</t>
  </si>
  <si>
    <t>2.382.372,99</t>
  </si>
  <si>
    <t>2.582.065,68</t>
  </si>
  <si>
    <t>6.357.176,76</t>
  </si>
  <si>
    <t>1.1.1.6.02.00001</t>
  </si>
  <si>
    <t>MERCADORIAS DE REVENDA</t>
  </si>
  <si>
    <t>128.518.379,00</t>
  </si>
  <si>
    <t>121.970.436,75</t>
  </si>
  <si>
    <t>2.372.390,11</t>
  </si>
  <si>
    <t>2.580.251,96</t>
  </si>
  <si>
    <t>6.340.080,40</t>
  </si>
  <si>
    <t>1.1.1.6.02.00002</t>
  </si>
  <si>
    <t>MERCAD. P/ REVENDA EM PODER DE TERCEIROS</t>
  </si>
  <si>
    <t>1.361.015,34</t>
  </si>
  <si>
    <t>1.352.088,14</t>
  </si>
  <si>
    <t>9.982,88</t>
  </si>
  <si>
    <t>1.813,72</t>
  </si>
  <si>
    <t>17.096,36</t>
  </si>
  <si>
    <t>1.1.1.6.90</t>
  </si>
  <si>
    <t>TRANSFERENCIA ENTRE ESTABELECIMENTOS</t>
  </si>
  <si>
    <t>229.833,90</t>
  </si>
  <si>
    <t>234.870,12</t>
  </si>
  <si>
    <t>48.886,78</t>
  </si>
  <si>
    <t>1.1.1.6.90.00001</t>
  </si>
  <si>
    <t>22.204.332,23</t>
  </si>
  <si>
    <t>22.150.409,23</t>
  </si>
  <si>
    <t>1.1.1.7</t>
  </si>
  <si>
    <t>ADIANTAMENTOS</t>
  </si>
  <si>
    <t>637.434,32</t>
  </si>
  <si>
    <t>843.600,05</t>
  </si>
  <si>
    <t>1.356.130,73</t>
  </si>
  <si>
    <t>1.1.1.7.01</t>
  </si>
  <si>
    <t>ADIANTAMENTOS A FORNECEDORES</t>
  </si>
  <si>
    <t>104.266,58</t>
  </si>
  <si>
    <t>91.347,55</t>
  </si>
  <si>
    <t>468.015,05</t>
  </si>
  <si>
    <t>1.1.1.7.01.00001</t>
  </si>
  <si>
    <t>11.424.299,45</t>
  </si>
  <si>
    <t>11.084.537,28</t>
  </si>
  <si>
    <t>101.783,02</t>
  </si>
  <si>
    <t>350.197,64</t>
  </si>
  <si>
    <t>1.1.1.7.01.00002</t>
  </si>
  <si>
    <t>CAPITAL TRADE IMPORT</t>
  </si>
  <si>
    <t>4.582.203,92</t>
  </si>
  <si>
    <t>4.516.541,27</t>
  </si>
  <si>
    <t>65.662,65</t>
  </si>
  <si>
    <t>1.1.1.7.01.00005</t>
  </si>
  <si>
    <t>COTAS DE CONSORCIO</t>
  </si>
  <si>
    <t>49.671,20</t>
  </si>
  <si>
    <t>2.483,56</t>
  </si>
  <si>
    <t>52.154,76</t>
  </si>
  <si>
    <t>1.1.1.7.02</t>
  </si>
  <si>
    <t>ADIANTAMENTOS A DESPACHANTE ADUANEIRO</t>
  </si>
  <si>
    <t>30,28</t>
  </si>
  <si>
    <t>1.1.1.7.02.00001</t>
  </si>
  <si>
    <t>593.564,82</t>
  </si>
  <si>
    <t>593.534,54</t>
  </si>
  <si>
    <t>1.1.1.7.04</t>
  </si>
  <si>
    <t>ADIANTAMENTO DE VIAGEM</t>
  </si>
  <si>
    <t>393,61</t>
  </si>
  <si>
    <t>1.1.1.7.04.00001</t>
  </si>
  <si>
    <t>67.399,75</t>
  </si>
  <si>
    <t>67.006,14</t>
  </si>
  <si>
    <t>1.1.1.7.05</t>
  </si>
  <si>
    <t>ADTO A FORNECEDORES EXTERIOR</t>
  </si>
  <si>
    <t>533.167,74</t>
  </si>
  <si>
    <t>752.252,50</t>
  </si>
  <si>
    <t>887.691,79</t>
  </si>
  <si>
    <t>1.1.1.7.05.000001</t>
  </si>
  <si>
    <t>YANTAI  EDDIE HYDRAULIC TECCHNOLOGY COL</t>
  </si>
  <si>
    <t>15.699.095,47</t>
  </si>
  <si>
    <t>15.699.095,43</t>
  </si>
  <si>
    <t>1.1.1.7.05.000002</t>
  </si>
  <si>
    <t>YUET FING MACHINERY EQUIPMENT</t>
  </si>
  <si>
    <t>2.408.889,04</t>
  </si>
  <si>
    <t>2.234.342,01</t>
  </si>
  <si>
    <t>2.543,31</t>
  </si>
  <si>
    <t>76.076,06</t>
  </si>
  <si>
    <t>101.014,28</t>
  </si>
  <si>
    <t>1.1.1.7.05.000007</t>
  </si>
  <si>
    <t>SKS HYDRAULIC TECHNOLOGY CO.,L</t>
  </si>
  <si>
    <t>12.582.321,35</t>
  </si>
  <si>
    <t>12.238.078,06</t>
  </si>
  <si>
    <t>305.702,24</t>
  </si>
  <si>
    <t>281.031,25</t>
  </si>
  <si>
    <t>368.914,28</t>
  </si>
  <si>
    <t>1.1.1.7.05.000008</t>
  </si>
  <si>
    <t>DAE JIN DEVELOPMENT</t>
  </si>
  <si>
    <t>1.190.832,27</t>
  </si>
  <si>
    <t>1.176.832,15</t>
  </si>
  <si>
    <t>312,70</t>
  </si>
  <si>
    <t>14.312,82</t>
  </si>
  <si>
    <t>1.1.1.7.05.000009</t>
  </si>
  <si>
    <t>XINGTAI ZHONGWE</t>
  </si>
  <si>
    <t>8.508.864,02</t>
  </si>
  <si>
    <t>7.934.877,94</t>
  </si>
  <si>
    <t>224.609,49</t>
  </si>
  <si>
    <t>395.145,19</t>
  </si>
  <si>
    <t>403.450,38</t>
  </si>
  <si>
    <t>1.1.1.7.05.000013</t>
  </si>
  <si>
    <t>EMP PARTS</t>
  </si>
  <si>
    <t>68.816,19</t>
  </si>
  <si>
    <t>68.816,20</t>
  </si>
  <si>
    <t>1.3</t>
  </si>
  <si>
    <t>NAO CIRCULANTE</t>
  </si>
  <si>
    <t>3.320,00</t>
  </si>
  <si>
    <t>15.275,65</t>
  </si>
  <si>
    <t>830.223,93</t>
  </si>
  <si>
    <t>1.3.3</t>
  </si>
  <si>
    <t>IMOBILIZADO TECNICO</t>
  </si>
  <si>
    <t>11.895,15</t>
  </si>
  <si>
    <t>708.254,20</t>
  </si>
  <si>
    <t>1.3.3.1</t>
  </si>
  <si>
    <t>1.3.3.1.01</t>
  </si>
  <si>
    <t>CUSTO</t>
  </si>
  <si>
    <t>1.098.023,38</t>
  </si>
  <si>
    <t>1.3.3.1.01.00003</t>
  </si>
  <si>
    <t>MOVEIS E UTENSILIOS</t>
  </si>
  <si>
    <t>226.698,76</t>
  </si>
  <si>
    <t>3.852,62</t>
  </si>
  <si>
    <t>222.846,14</t>
  </si>
  <si>
    <t>1.3.3.1.01.00005</t>
  </si>
  <si>
    <t>EQUIPAMENTOS DE INFORMATICA</t>
  </si>
  <si>
    <t>57.924,85</t>
  </si>
  <si>
    <t>1.3.3.1.01.00006</t>
  </si>
  <si>
    <t>MAQUINAS E EQUIPAMENTOS</t>
  </si>
  <si>
    <t>523.448,50</t>
  </si>
  <si>
    <t>221.581,22</t>
  </si>
  <si>
    <t>301.867,28</t>
  </si>
  <si>
    <t>1.3.3.1.01.00008</t>
  </si>
  <si>
    <t>FERRAMENTAS / MOLDES</t>
  </si>
  <si>
    <t>209.203,83</t>
  </si>
  <si>
    <t>19.012,24</t>
  </si>
  <si>
    <t>190.191,59</t>
  </si>
  <si>
    <t>1.3.3.1.01.00010</t>
  </si>
  <si>
    <t>APARELHOS DE TELEFONIA</t>
  </si>
  <si>
    <t>15.692,00</t>
  </si>
  <si>
    <t>1.3.3.1.01.00012</t>
  </si>
  <si>
    <t>BENFEITORIAS EM IMOVEIS DE TERCEIROS</t>
  </si>
  <si>
    <t>310.031,52</t>
  </si>
  <si>
    <t>530,00</t>
  </si>
  <si>
    <t>309.501,52</t>
  </si>
  <si>
    <t>1.3.3.1.99</t>
  </si>
  <si>
    <t>DEPRECIACAO/AMORTIZACAO ACUMULADA</t>
  </si>
  <si>
    <t>8.575,15</t>
  </si>
  <si>
    <t>389.769,18</t>
  </si>
  <si>
    <t>1.3.3.1.99.00003</t>
  </si>
  <si>
    <t>94,77</t>
  </si>
  <si>
    <t>68.052,65</t>
  </si>
  <si>
    <t>1.799,06</t>
  </si>
  <si>
    <t>69.756,94</t>
  </si>
  <si>
    <t>1.3.3.1.99.00005</t>
  </si>
  <si>
    <t>87,73</t>
  </si>
  <si>
    <t>27.891,05</t>
  </si>
  <si>
    <t>786,95</t>
  </si>
  <si>
    <t>28.590,27</t>
  </si>
  <si>
    <t>1.3.3.1.99.00006</t>
  </si>
  <si>
    <t>30.621,27</t>
  </si>
  <si>
    <t>110.513,12</t>
  </si>
  <si>
    <t>2.885,20</t>
  </si>
  <si>
    <t>82.777,05</t>
  </si>
  <si>
    <t>1.3.3.1.99.00008</t>
  </si>
  <si>
    <t>3.711,71</t>
  </si>
  <si>
    <t>149.117,77</t>
  </si>
  <si>
    <t>600,89</t>
  </si>
  <si>
    <t>146.006,95</t>
  </si>
  <si>
    <t>1.3.3.1.99.00010</t>
  </si>
  <si>
    <t>3.911,87</t>
  </si>
  <si>
    <t>248,95</t>
  </si>
  <si>
    <t>4.160,82</t>
  </si>
  <si>
    <t>1.3.3.1.99.00012</t>
  </si>
  <si>
    <t>56.223,05</t>
  </si>
  <si>
    <t>2.254,10</t>
  </si>
  <si>
    <t>58.477,15</t>
  </si>
  <si>
    <t>1.3.4</t>
  </si>
  <si>
    <t>INTANGIVEL</t>
  </si>
  <si>
    <t>3.380,50</t>
  </si>
  <si>
    <t>121.969,73</t>
  </si>
  <si>
    <t>1.3.4.1</t>
  </si>
  <si>
    <t>1.3.4.1.01</t>
  </si>
  <si>
    <t>215.971,51</t>
  </si>
  <si>
    <t>1.3.4.1.01.00001</t>
  </si>
  <si>
    <t>DIREITO USO SOFTWARE</t>
  </si>
  <si>
    <t>1.3.4.1.99</t>
  </si>
  <si>
    <t>AMORTIZACAO ACUMULADA</t>
  </si>
  <si>
    <t>94.001,78</t>
  </si>
  <si>
    <t>1.3.4.1.99.00001</t>
  </si>
  <si>
    <t>91.621,28</t>
  </si>
  <si>
    <t>2</t>
  </si>
  <si>
    <t>PASSIVO</t>
  </si>
  <si>
    <t>2.983.194,70</t>
  </si>
  <si>
    <t>2.542.787,24</t>
  </si>
  <si>
    <t>12.736.797,52</t>
  </si>
  <si>
    <t>2.1</t>
  </si>
  <si>
    <t>2.575.366,13</t>
  </si>
  <si>
    <t>2.401.287,34</t>
  </si>
  <si>
    <t>6.930.712,46</t>
  </si>
  <si>
    <t>2.1.1</t>
  </si>
  <si>
    <t>2.1.1.1</t>
  </si>
  <si>
    <t>FORNECEDORES</t>
  </si>
  <si>
    <t>1.168.583,02</t>
  </si>
  <si>
    <t>984.811,70</t>
  </si>
  <si>
    <t>1.456.899,16</t>
  </si>
  <si>
    <t>2.1.1.1.01</t>
  </si>
  <si>
    <t>FORNECEDORES NACIONAIS</t>
  </si>
  <si>
    <t>412.964,24</t>
  </si>
  <si>
    <t>496.141,66</t>
  </si>
  <si>
    <t>494.960,36</t>
  </si>
  <si>
    <t>2.1.1.1.01.000001</t>
  </si>
  <si>
    <t>609.034,90</t>
  </si>
  <si>
    <t>2.1.1.1.01.000003</t>
  </si>
  <si>
    <t>GOOGLE BRASILINTERNET LTDA</t>
  </si>
  <si>
    <t>163.225,19</t>
  </si>
  <si>
    <t>164.305,24</t>
  </si>
  <si>
    <t>5.743,90</t>
  </si>
  <si>
    <t>1.080,05</t>
  </si>
  <si>
    <t>2.1.1.1.01.000005</t>
  </si>
  <si>
    <t>NOVAK &amp; GOUVEIA LT</t>
  </si>
  <si>
    <t>318.028,33</t>
  </si>
  <si>
    <t>319.269,45</t>
  </si>
  <si>
    <t>1.241,21</t>
  </si>
  <si>
    <t>0,09</t>
  </si>
  <si>
    <t>2.1.1.1.01.000008</t>
  </si>
  <si>
    <t>ORLEANS TUR VIAGENS E TURISMO LTDA</t>
  </si>
  <si>
    <t>214.754,53</t>
  </si>
  <si>
    <t>216.470,87</t>
  </si>
  <si>
    <t>3.179,06</t>
  </si>
  <si>
    <t>1.716,34</t>
  </si>
  <si>
    <t>2.1.1.1.01.000009</t>
  </si>
  <si>
    <t>ICOMNET TECNOLOGIA DA INFORMACAO</t>
  </si>
  <si>
    <t>25.573,63</t>
  </si>
  <si>
    <t>25.954,41</t>
  </si>
  <si>
    <t>178,08</t>
  </si>
  <si>
    <t>380,78</t>
  </si>
  <si>
    <t>2.1.1.1.01.000010</t>
  </si>
  <si>
    <t>TOTVS S.A</t>
  </si>
  <si>
    <t>97.163,17</t>
  </si>
  <si>
    <t>97.194,27</t>
  </si>
  <si>
    <t>905,47</t>
  </si>
  <si>
    <t>936,57</t>
  </si>
  <si>
    <t>2.1.1.1.01.000012</t>
  </si>
  <si>
    <t>TRANSJOI TRANSPORTE LTDA</t>
  </si>
  <si>
    <t>54.288,80</t>
  </si>
  <si>
    <t>54.041,86</t>
  </si>
  <si>
    <t>246,94</t>
  </si>
  <si>
    <t>2.1.1.1.01.000017</t>
  </si>
  <si>
    <t>GOL LINHAS AEREAS S.A</t>
  </si>
  <si>
    <t>15.576,88</t>
  </si>
  <si>
    <t>15.756,88</t>
  </si>
  <si>
    <t>180,00</t>
  </si>
  <si>
    <t>2.1.1.1.01.000023</t>
  </si>
  <si>
    <t>VEDAMASTER SOLUCOES EM VEDACOES LTDA</t>
  </si>
  <si>
    <t>42.486,02</t>
  </si>
  <si>
    <t>2.082,00</t>
  </si>
  <si>
    <t>1.782,00</t>
  </si>
  <si>
    <t>2.1.1.1.01.000026</t>
  </si>
  <si>
    <t>AZUL LINHAS AEREAS BRASILEIRAS SA</t>
  </si>
  <si>
    <t>201.172,79</t>
  </si>
  <si>
    <t>221.541,85</t>
  </si>
  <si>
    <t>4.195,60</t>
  </si>
  <si>
    <t>6.099,44</t>
  </si>
  <si>
    <t>22.272,90</t>
  </si>
  <si>
    <t>2.1.1.1.01.000040</t>
  </si>
  <si>
    <t>OI S.A.</t>
  </si>
  <si>
    <t>8.245,25</t>
  </si>
  <si>
    <t>8.399,71</t>
  </si>
  <si>
    <t>308,92</t>
  </si>
  <si>
    <t>617,84</t>
  </si>
  <si>
    <t>463,38</t>
  </si>
  <si>
    <t>2.1.1.1.01.000044</t>
  </si>
  <si>
    <t>SYNDEX COM EXTERIOR E TRANSPORTES LTDA</t>
  </si>
  <si>
    <t>3.030.576,68</t>
  </si>
  <si>
    <t>3.045.824,33</t>
  </si>
  <si>
    <t>25.228,64</t>
  </si>
  <si>
    <t>30.838,03</t>
  </si>
  <si>
    <t>20.857,04</t>
  </si>
  <si>
    <t>2.1.1.1.01.000045</t>
  </si>
  <si>
    <t>CARLOS EDUARDO SILVEIRA CANABARRO FILHO</t>
  </si>
  <si>
    <t>192.829,30</t>
  </si>
  <si>
    <t>250,00</t>
  </si>
  <si>
    <t>2.1.1.1.01.000048</t>
  </si>
  <si>
    <t>TRANSJOI TRANSPORTES LTDA</t>
  </si>
  <si>
    <t>54.645,58</t>
  </si>
  <si>
    <t>56.037,01</t>
  </si>
  <si>
    <t>1.391,43</t>
  </si>
  <si>
    <t>2.1.1.1.01.000052</t>
  </si>
  <si>
    <t>CAIXINHA AGFMAC</t>
  </si>
  <si>
    <t>46.904,47</t>
  </si>
  <si>
    <t>46.630,57</t>
  </si>
  <si>
    <t>273,90</t>
  </si>
  <si>
    <t>2.1.1.1.01.000058</t>
  </si>
  <si>
    <t>SUL ROL COM DISTR LTDA</t>
  </si>
  <si>
    <t>28.553,07</t>
  </si>
  <si>
    <t>28.676,53</t>
  </si>
  <si>
    <t>75,46</t>
  </si>
  <si>
    <t>515,80</t>
  </si>
  <si>
    <t>563,80</t>
  </si>
  <si>
    <t>2.1.1.1.01.000060</t>
  </si>
  <si>
    <t>CERTISIGN CERTIFICACAO DIGITAL</t>
  </si>
  <si>
    <t>2.405,77</t>
  </si>
  <si>
    <t>2.524,62</t>
  </si>
  <si>
    <t>118,85</t>
  </si>
  <si>
    <t>2.1.1.1.01.000064</t>
  </si>
  <si>
    <t>OUTROS IMPOSTOS DE IMPORTACAO</t>
  </si>
  <si>
    <t>8.758.064,84</t>
  </si>
  <si>
    <t>127.791,61</t>
  </si>
  <si>
    <t>2.1.1.1.01.000066</t>
  </si>
  <si>
    <t>BANRISUL ARMAZENS GERAIS SA</t>
  </si>
  <si>
    <t>57.799,32</t>
  </si>
  <si>
    <t>59.430,02</t>
  </si>
  <si>
    <t>554,24</t>
  </si>
  <si>
    <t>1.296,46</t>
  </si>
  <si>
    <t>2.1.1.1.01.000077</t>
  </si>
  <si>
    <t>20.774,06</t>
  </si>
  <si>
    <t>24.246,03</t>
  </si>
  <si>
    <t>2.1.1.1.01.000079</t>
  </si>
  <si>
    <t>SANDRO DA SILVA PEREIRA</t>
  </si>
  <si>
    <t>26.009,19</t>
  </si>
  <si>
    <t>28.417,96</t>
  </si>
  <si>
    <t>2.408,77</t>
  </si>
  <si>
    <t>2.1.1.1.01.000080</t>
  </si>
  <si>
    <t>MAZON MATERIAIS DE CONSTRUCOES LTDA</t>
  </si>
  <si>
    <t>6.082,44</t>
  </si>
  <si>
    <t>10.333,71</t>
  </si>
  <si>
    <t>4.251,27</t>
  </si>
  <si>
    <t>2.1.1.1.01.000081</t>
  </si>
  <si>
    <t>AZUL LINAS AEREAS</t>
  </si>
  <si>
    <t>71.112,13</t>
  </si>
  <si>
    <t>36.076,53</t>
  </si>
  <si>
    <t>35.035,60</t>
  </si>
  <si>
    <t>2.1.1.1.01.000086</t>
  </si>
  <si>
    <t>EXPRESSO SAO MIGUEL LTDA</t>
  </si>
  <si>
    <t>16.166,95</t>
  </si>
  <si>
    <t>16.363,68</t>
  </si>
  <si>
    <t>3.388,12</t>
  </si>
  <si>
    <t>2.092,68</t>
  </si>
  <si>
    <t>1.098,71</t>
  </si>
  <si>
    <t>2.1.1.1.01.000090</t>
  </si>
  <si>
    <t>ANDREA CAMPANA DUARTE</t>
  </si>
  <si>
    <t>78.472,20</t>
  </si>
  <si>
    <t>84.113,58</t>
  </si>
  <si>
    <t>697,50</t>
  </si>
  <si>
    <t>4.943,88</t>
  </si>
  <si>
    <t>2.1.1.1.01.000093</t>
  </si>
  <si>
    <t>RODONAVES TRANSPORTES LTDA</t>
  </si>
  <si>
    <t>19.082,25</t>
  </si>
  <si>
    <t>21.817,38</t>
  </si>
  <si>
    <t>2.735,13</t>
  </si>
  <si>
    <t>2.1.1.1.01.000097</t>
  </si>
  <si>
    <t>MESSE MUENCHEN DO BRASIL FEIRAS LTDA</t>
  </si>
  <si>
    <t>145.210,40</t>
  </si>
  <si>
    <t>189.575,95</t>
  </si>
  <si>
    <t>2.772,85</t>
  </si>
  <si>
    <t>41.592,70</t>
  </si>
  <si>
    <t>2.1.1.1.01.000101</t>
  </si>
  <si>
    <t>SUMUP CARTAO</t>
  </si>
  <si>
    <t>2.879,04</t>
  </si>
  <si>
    <t>2.965,76</t>
  </si>
  <si>
    <t>86,72</t>
  </si>
  <si>
    <t>2.1.1.1.01.000104</t>
  </si>
  <si>
    <t>REDE ENCOMENDAS</t>
  </si>
  <si>
    <t>1.435,84</t>
  </si>
  <si>
    <t>1.381,84</t>
  </si>
  <si>
    <t>60,00</t>
  </si>
  <si>
    <t>114,00</t>
  </si>
  <si>
    <t>2.1.1.1.01.000124</t>
  </si>
  <si>
    <t>TECHNOMAQUINAS LTDA</t>
  </si>
  <si>
    <t>8.453,78</t>
  </si>
  <si>
    <t>531,08</t>
  </si>
  <si>
    <t>2.1.1.1.01.000128</t>
  </si>
  <si>
    <t>PIRACICABA COM DE PECAS LTDA</t>
  </si>
  <si>
    <t>221.102,92</t>
  </si>
  <si>
    <t>221.102,93</t>
  </si>
  <si>
    <t>2.1.1.1.01.000146</t>
  </si>
  <si>
    <t>TRANSPORTADORA  MINUANO LTDA</t>
  </si>
  <si>
    <t>8.929,33</t>
  </si>
  <si>
    <t>10.408,82</t>
  </si>
  <si>
    <t>1.479,49</t>
  </si>
  <si>
    <t>2.1.1.1.01.000148</t>
  </si>
  <si>
    <t>BRASPRESS TRANSPORTES LTDA</t>
  </si>
  <si>
    <t>5.885,99</t>
  </si>
  <si>
    <t>6.254,54</t>
  </si>
  <si>
    <t>368,55</t>
  </si>
  <si>
    <t>2.1.1.1.01.000152</t>
  </si>
  <si>
    <t>PAYPAL ADM</t>
  </si>
  <si>
    <t>109,79</t>
  </si>
  <si>
    <t>1.591,41</t>
  </si>
  <si>
    <t>1.481,62</t>
  </si>
  <si>
    <t>2.1.1.1.01.000155</t>
  </si>
  <si>
    <t>INPAMED LTDA</t>
  </si>
  <si>
    <t>5.691,79</t>
  </si>
  <si>
    <t>6.727,01</t>
  </si>
  <si>
    <t>665,06</t>
  </si>
  <si>
    <t>684,73</t>
  </si>
  <si>
    <t>1.054,89</t>
  </si>
  <si>
    <t>2.1.1.1.01.000161</t>
  </si>
  <si>
    <t>TELEFONICA SA</t>
  </si>
  <si>
    <t>13.142,35</t>
  </si>
  <si>
    <t>13.577,87</t>
  </si>
  <si>
    <t>435,52</t>
  </si>
  <si>
    <t>2.1.1.1.01.000164</t>
  </si>
  <si>
    <t>TRANSPORTES FONTANA LTDA</t>
  </si>
  <si>
    <t>395,10</t>
  </si>
  <si>
    <t>451,10</t>
  </si>
  <si>
    <t>56,00</t>
  </si>
  <si>
    <t>2.1.1.1.01.000165</t>
  </si>
  <si>
    <t>GLOBAL TRANSPORTES LTDA</t>
  </si>
  <si>
    <t>9.843,14</t>
  </si>
  <si>
    <t>1.241,99</t>
  </si>
  <si>
    <t>2.1.1.1.01.000166</t>
  </si>
  <si>
    <t>OLITRACTOR DISTRB. DE PECAS LTDA</t>
  </si>
  <si>
    <t>47.973,27</t>
  </si>
  <si>
    <t>1.822,00</t>
  </si>
  <si>
    <t>2.1.1.1.01.000167</t>
  </si>
  <si>
    <t>521,35</t>
  </si>
  <si>
    <t>1.024,21</t>
  </si>
  <si>
    <t>502,86</t>
  </si>
  <si>
    <t>2.1.1.1.01.000170</t>
  </si>
  <si>
    <t>SOLUCTIO IT</t>
  </si>
  <si>
    <t>28.503,78</t>
  </si>
  <si>
    <t>28.526,28</t>
  </si>
  <si>
    <t>22,50</t>
  </si>
  <si>
    <t>2.1.1.1.01.000173</t>
  </si>
  <si>
    <t>EXPRESSO SAO MIGUEL</t>
  </si>
  <si>
    <t>2.846,97</t>
  </si>
  <si>
    <t>117,31</t>
  </si>
  <si>
    <t>2.1.1.1.01.000175</t>
  </si>
  <si>
    <t>RHPOLI SERV LTDA</t>
  </si>
  <si>
    <t>52.120,65</t>
  </si>
  <si>
    <t>1.034,40</t>
  </si>
  <si>
    <t>2.1.1.1.01.000177</t>
  </si>
  <si>
    <t>ESCRIPEL MATERIAS DE ESCRITORIO LTDA</t>
  </si>
  <si>
    <t>12.386,02</t>
  </si>
  <si>
    <t>12.740,13</t>
  </si>
  <si>
    <t>354,11</t>
  </si>
  <si>
    <t>2.1.1.1.01.000178</t>
  </si>
  <si>
    <t>KALUNGA</t>
  </si>
  <si>
    <t>2.859,92</t>
  </si>
  <si>
    <t>3.278,92</t>
  </si>
  <si>
    <t>419,00</t>
  </si>
  <si>
    <t>2.1.1.1.01.000179</t>
  </si>
  <si>
    <t>LEROY MERLIN</t>
  </si>
  <si>
    <t>1.235,35</t>
  </si>
  <si>
    <t>2.151,44</t>
  </si>
  <si>
    <t>916,09</t>
  </si>
  <si>
    <t>2.1.1.1.01.000187</t>
  </si>
  <si>
    <t>INCON ELETRICA LTDA</t>
  </si>
  <si>
    <t>19.542,00</t>
  </si>
  <si>
    <t>12.908,85</t>
  </si>
  <si>
    <t>2.1.1.1.01.000194</t>
  </si>
  <si>
    <t>RODONAVES TRANSPORTES E ENCOMENDAS LTDA</t>
  </si>
  <si>
    <t>21.635,45</t>
  </si>
  <si>
    <t>22.123,15</t>
  </si>
  <si>
    <t>162,09</t>
  </si>
  <si>
    <t>325,61</t>
  </si>
  <si>
    <t>2.1.1.1.01.000207</t>
  </si>
  <si>
    <t>SANDRO DA SILVA PEREIRA 64529002004</t>
  </si>
  <si>
    <t>695.939,09</t>
  </si>
  <si>
    <t>701.764,38</t>
  </si>
  <si>
    <t>18.775,14</t>
  </si>
  <si>
    <t>21.135,49</t>
  </si>
  <si>
    <t>8.185,64</t>
  </si>
  <si>
    <t>2.1.1.1.01.000214</t>
  </si>
  <si>
    <t>VIRGINIO FOCHEZATTO</t>
  </si>
  <si>
    <t>28.330,00</t>
  </si>
  <si>
    <t>28.630,00</t>
  </si>
  <si>
    <t>2.1.1.1.01.000230</t>
  </si>
  <si>
    <t>LOGITHINK TECNOL DA INF LTDA</t>
  </si>
  <si>
    <t>21.143,57</t>
  </si>
  <si>
    <t>21.314,85</t>
  </si>
  <si>
    <t>171,28</t>
  </si>
  <si>
    <t>2.1.1.1.01.000231</t>
  </si>
  <si>
    <t>TOTVS SA</t>
  </si>
  <si>
    <t>195.414,27</t>
  </si>
  <si>
    <t>206.430,82</t>
  </si>
  <si>
    <t>6.678,08</t>
  </si>
  <si>
    <t>5.164,57</t>
  </si>
  <si>
    <t>9.503,04</t>
  </si>
  <si>
    <t>2.1.1.1.01.000232</t>
  </si>
  <si>
    <t>DISMARINA TRANSP. ROD. LTDA</t>
  </si>
  <si>
    <t>71.608,60</t>
  </si>
  <si>
    <t>64.670,18</t>
  </si>
  <si>
    <t>3.727,26</t>
  </si>
  <si>
    <t>1.815,24</t>
  </si>
  <si>
    <t>8.850,44</t>
  </si>
  <si>
    <t>2.1.1.1.01.000235</t>
  </si>
  <si>
    <t>CENTRAL DE PARAFUSOS LTDA</t>
  </si>
  <si>
    <t>32.436,51</t>
  </si>
  <si>
    <t>32.829,11</t>
  </si>
  <si>
    <t>375,20</t>
  </si>
  <si>
    <t>902,80</t>
  </si>
  <si>
    <t>920,20</t>
  </si>
  <si>
    <t>2.1.1.1.01.000241</t>
  </si>
  <si>
    <t>CAPITAL TRADE IMPORTACAO E EXPORTACAO LT</t>
  </si>
  <si>
    <t>4.365.935,52</t>
  </si>
  <si>
    <t>4.374.008,38</t>
  </si>
  <si>
    <t>56.759,69</t>
  </si>
  <si>
    <t>64.832,55</t>
  </si>
  <si>
    <t>2.1.1.1.01.000257</t>
  </si>
  <si>
    <t>KW COMERCIO DE ARTIGOS PARA FESTAS EIREL</t>
  </si>
  <si>
    <t>4.963,98</t>
  </si>
  <si>
    <t>4.963,96</t>
  </si>
  <si>
    <t>2.1.1.1.01.000260</t>
  </si>
  <si>
    <t>20.240,24</t>
  </si>
  <si>
    <t>20.320,60</t>
  </si>
  <si>
    <t>80,36</t>
  </si>
  <si>
    <t>2.1.1.1.01.000262</t>
  </si>
  <si>
    <t>TELEFONICA BRASIL S.A.</t>
  </si>
  <si>
    <t>1.438,30</t>
  </si>
  <si>
    <t>2.358,30</t>
  </si>
  <si>
    <t>920,00</t>
  </si>
  <si>
    <t>2.1.1.1.01.000264</t>
  </si>
  <si>
    <t>ARNALDO SCHWALMECKERT</t>
  </si>
  <si>
    <t>2.1.1.1.01.000266</t>
  </si>
  <si>
    <t>SONAVOIP TELECOMUNICACOES LTDA</t>
  </si>
  <si>
    <t>7.427,60</t>
  </si>
  <si>
    <t>119,80</t>
  </si>
  <si>
    <t>2.1.1.1.01.000291</t>
  </si>
  <si>
    <t>RICARDO DA SILVA SOUZA - METAIS ME</t>
  </si>
  <si>
    <t>20.840,50</t>
  </si>
  <si>
    <t>21.316,20</t>
  </si>
  <si>
    <t>475,70</t>
  </si>
  <si>
    <t>2.1.1.1.01.000304</t>
  </si>
  <si>
    <t>CORREIO - RS</t>
  </si>
  <si>
    <t>44.340,42</t>
  </si>
  <si>
    <t>1.632,34</t>
  </si>
  <si>
    <t>2.1.1.1.01.000305</t>
  </si>
  <si>
    <t>RECHE BATERIAS LTDA</t>
  </si>
  <si>
    <t>3.510,80</t>
  </si>
  <si>
    <t>4.554,80</t>
  </si>
  <si>
    <t>1.044,00</t>
  </si>
  <si>
    <t>2.1.1.1.01.000313</t>
  </si>
  <si>
    <t>ABT COMERCIAL ELETRICA LTDA</t>
  </si>
  <si>
    <t>37.154,94</t>
  </si>
  <si>
    <t>37.156,91</t>
  </si>
  <si>
    <t>1,97</t>
  </si>
  <si>
    <t>2.1.1.1.01.000314</t>
  </si>
  <si>
    <t>ALLIANZ SEGUROS S/A</t>
  </si>
  <si>
    <t>12.547,91</t>
  </si>
  <si>
    <t>16.151,63</t>
  </si>
  <si>
    <t>3.603,72</t>
  </si>
  <si>
    <t>2.1.1.1.01.000320</t>
  </si>
  <si>
    <t>ANAY FITAS COMERCIAL E DISTRIBUIDORA LTD</t>
  </si>
  <si>
    <t>1.689,87</t>
  </si>
  <si>
    <t>1.822,17</t>
  </si>
  <si>
    <t>132,30</t>
  </si>
  <si>
    <t>2.1.1.1.01.000324</t>
  </si>
  <si>
    <t>C L B SERVICOS ELETRICOS E AUTOMACAO LTD</t>
  </si>
  <si>
    <t>24.353,53</t>
  </si>
  <si>
    <t>26.595,75</t>
  </si>
  <si>
    <t>2.242,22</t>
  </si>
  <si>
    <t>2.1.1.1.01.000330</t>
  </si>
  <si>
    <t>DETYLINE PRODUTOS E SISTEMAS PARA LIMPEZ</t>
  </si>
  <si>
    <t>26.928,02</t>
  </si>
  <si>
    <t>27.506,56</t>
  </si>
  <si>
    <t>578,55</t>
  </si>
  <si>
    <t>1.103,83</t>
  </si>
  <si>
    <t>1.103,82</t>
  </si>
  <si>
    <t>2.1.1.1.01.000332</t>
  </si>
  <si>
    <t>CLEAN HOUSE SERVICE EIRELI</t>
  </si>
  <si>
    <t>31.969,57</t>
  </si>
  <si>
    <t>31.999,72</t>
  </si>
  <si>
    <t>30,15</t>
  </si>
  <si>
    <t>2.1.1.1.01.000333</t>
  </si>
  <si>
    <t>ALEXANDRE SANHUDO DE FARIAS 00053523040</t>
  </si>
  <si>
    <t>74.145,42</t>
  </si>
  <si>
    <t>76.395,42</t>
  </si>
  <si>
    <t>2.250,00</t>
  </si>
  <si>
    <t>2.1.1.1.01.000334</t>
  </si>
  <si>
    <t>ADAO FERREIRA PAES 00205365000</t>
  </si>
  <si>
    <t>329.431,65</t>
  </si>
  <si>
    <t>331.681,65</t>
  </si>
  <si>
    <t>2.1.1.1.01.000340</t>
  </si>
  <si>
    <t>PORTO ALEGRE DEP MUNICIPAL DE AGUA E ESG</t>
  </si>
  <si>
    <t>1.985,04</t>
  </si>
  <si>
    <t>2.115,72</t>
  </si>
  <si>
    <t>130,68</t>
  </si>
  <si>
    <t>2.1.1.1.01.000343</t>
  </si>
  <si>
    <t>EMBALAGENS NASCIMENTO LTDA</t>
  </si>
  <si>
    <t>2.048,79</t>
  </si>
  <si>
    <t>2.291,03</t>
  </si>
  <si>
    <t>242,24</t>
  </si>
  <si>
    <t>2.1.1.1.01.000352</t>
  </si>
  <si>
    <t>VOLPMANN SEGURANCA ELETRONICA - EIRELI</t>
  </si>
  <si>
    <t>10.978,17</t>
  </si>
  <si>
    <t>11.269,64</t>
  </si>
  <si>
    <t>291,47</t>
  </si>
  <si>
    <t>2.1.1.1.01.000354</t>
  </si>
  <si>
    <t>DISMA TRANSPORTES RODOVIARIOS LTDA</t>
  </si>
  <si>
    <t>27.779,22</t>
  </si>
  <si>
    <t>28.533,72</t>
  </si>
  <si>
    <t>138,68</t>
  </si>
  <si>
    <t>2.677,95</t>
  </si>
  <si>
    <t>3.293,77</t>
  </si>
  <si>
    <t>2.1.1.1.01.000355</t>
  </si>
  <si>
    <t>GUSTAVO FRALEONI DIAS DIVINO</t>
  </si>
  <si>
    <t>51.844,34</t>
  </si>
  <si>
    <t>55.538,20</t>
  </si>
  <si>
    <t>3.693,86</t>
  </si>
  <si>
    <t>2.1.1.1.01.000356</t>
  </si>
  <si>
    <t>CCB EMBALAGENS LTDA</t>
  </si>
  <si>
    <t>179,45</t>
  </si>
  <si>
    <t>225,25</t>
  </si>
  <si>
    <t>45,80</t>
  </si>
  <si>
    <t>2.1.1.1.01.000358</t>
  </si>
  <si>
    <t>GEOLIT DO BRASIL INDUSTRIA E COMERCIO DE</t>
  </si>
  <si>
    <t>10.586,90</t>
  </si>
  <si>
    <t>2.1.1.1.01.000360</t>
  </si>
  <si>
    <t>FERRAMENTAS GERAIS COMERCIO E IMPORTACAO</t>
  </si>
  <si>
    <t>37.459,50</t>
  </si>
  <si>
    <t>38.156,85</t>
  </si>
  <si>
    <t>94,71</t>
  </si>
  <si>
    <t>1.070,01</t>
  </si>
  <si>
    <t>1.672,65</t>
  </si>
  <si>
    <t>2.1.1.1.01.000366</t>
  </si>
  <si>
    <t>2.677,58</t>
  </si>
  <si>
    <t>3.358,58</t>
  </si>
  <si>
    <t>2.1.1.1.01.000379</t>
  </si>
  <si>
    <t>AZUL LINHAS AEREAS BRASILEIRAS S.A.</t>
  </si>
  <si>
    <t>13.357,43</t>
  </si>
  <si>
    <t>34.611,42</t>
  </si>
  <si>
    <t>200,01</t>
  </si>
  <si>
    <t>21.454,00</t>
  </si>
  <si>
    <t>2.1.1.1.01.000382</t>
  </si>
  <si>
    <t>TINTEIRO COMERCIAL DE TINTAS</t>
  </si>
  <si>
    <t>53.141,06</t>
  </si>
  <si>
    <t>56.085,86</t>
  </si>
  <si>
    <t>507,90</t>
  </si>
  <si>
    <t>2.436,90</t>
  </si>
  <si>
    <t>2.1.1.1.01.000387</t>
  </si>
  <si>
    <t>GUIDO A JACOBUS</t>
  </si>
  <si>
    <t>326,84</t>
  </si>
  <si>
    <t>392,80</t>
  </si>
  <si>
    <t>65,96</t>
  </si>
  <si>
    <t>2.1.1.1.01.000388</t>
  </si>
  <si>
    <t>CASA DAS GAXETAS</t>
  </si>
  <si>
    <t>10,42</t>
  </si>
  <si>
    <t>493,32</t>
  </si>
  <si>
    <t>482,90</t>
  </si>
  <si>
    <t>2.1.1.1.01.000395</t>
  </si>
  <si>
    <t>SUL CAIXAS INDUSTRIA E COMERCIO DE EMBAL</t>
  </si>
  <si>
    <t>52.595,14</t>
  </si>
  <si>
    <t>1.116,81</t>
  </si>
  <si>
    <t>2.1.1.1.01.000403</t>
  </si>
  <si>
    <t>COMPANHIA ESTADUAL DE DIST DE ENERG ELET</t>
  </si>
  <si>
    <t>49.526,19</t>
  </si>
  <si>
    <t>49.530,79</t>
  </si>
  <si>
    <t>4,60</t>
  </si>
  <si>
    <t>2.1.1.1.01.000409</t>
  </si>
  <si>
    <t>MADEIRAMADEIRA COMERCIO ELETRONICO S/A</t>
  </si>
  <si>
    <t>2.779,84</t>
  </si>
  <si>
    <t>4.527,86</t>
  </si>
  <si>
    <t>1.748,02</t>
  </si>
  <si>
    <t>2.1.1.1.01.000413</t>
  </si>
  <si>
    <t>ANA CAROLINA PARMEZANI CARVALHO PALINI 3</t>
  </si>
  <si>
    <t>160.858,00</t>
  </si>
  <si>
    <t>161.733,00</t>
  </si>
  <si>
    <t>875,00</t>
  </si>
  <si>
    <t>2.1.1.1.01.000430</t>
  </si>
  <si>
    <t>JOSE ANTONIO MARIA ECHEVERRIA PEDREIRA 2</t>
  </si>
  <si>
    <t>201.517,53</t>
  </si>
  <si>
    <t>203.180,53</t>
  </si>
  <si>
    <t>1.950,00</t>
  </si>
  <si>
    <t>2.113,00</t>
  </si>
  <si>
    <t>2.1.1.1.01.000438</t>
  </si>
  <si>
    <t>ITASUL TRANSPORTES EIRELI</t>
  </si>
  <si>
    <t>75.040,30</t>
  </si>
  <si>
    <t>103.317,25</t>
  </si>
  <si>
    <t>28.276,95</t>
  </si>
  <si>
    <t>2.1.1.1.01.000450</t>
  </si>
  <si>
    <t>30.095,76</t>
  </si>
  <si>
    <t>33.194,56</t>
  </si>
  <si>
    <t>3.098,80</t>
  </si>
  <si>
    <t>2.1.1.1.01.000453</t>
  </si>
  <si>
    <t>RENAN GOMES MELLO 02709332043</t>
  </si>
  <si>
    <t>4.460,00</t>
  </si>
  <si>
    <t>2.1.1.1.01.000454</t>
  </si>
  <si>
    <t>EXPRESSO SAO MIGUEL S/A</t>
  </si>
  <si>
    <t>4.951,10</t>
  </si>
  <si>
    <t>6.676,10</t>
  </si>
  <si>
    <t>794,00</t>
  </si>
  <si>
    <t>418,00</t>
  </si>
  <si>
    <t>1.349,00</t>
  </si>
  <si>
    <t>2.1.1.1.01.000473</t>
  </si>
  <si>
    <t>O.S. COMERCIO DE SUCATAS LTDA</t>
  </si>
  <si>
    <t>36.704,00</t>
  </si>
  <si>
    <t>38.069,00</t>
  </si>
  <si>
    <t>1.365,00</t>
  </si>
  <si>
    <t>2.1.1.1.01.000475</t>
  </si>
  <si>
    <t>FUSOFER COMERCIO E REPRESENTACOES LTDA</t>
  </si>
  <si>
    <t>1.308,40</t>
  </si>
  <si>
    <t>1.660,59</t>
  </si>
  <si>
    <t>352,19</t>
  </si>
  <si>
    <t>2.1.1.1.01.000476</t>
  </si>
  <si>
    <t>BEL EXPORT HIDRODINAMICA INDUSTRIA DE BO</t>
  </si>
  <si>
    <t>1.752,64</t>
  </si>
  <si>
    <t>1.985,30</t>
  </si>
  <si>
    <t>232,66</t>
  </si>
  <si>
    <t>2.1.1.1.01.000477</t>
  </si>
  <si>
    <t>LUCIANA CRISTINA RUOCCO - EPP</t>
  </si>
  <si>
    <t>13.064,23</t>
  </si>
  <si>
    <t>13.341,92</t>
  </si>
  <si>
    <t>277,69</t>
  </si>
  <si>
    <t>290,76</t>
  </si>
  <si>
    <t>2.1.1.1.01.000480</t>
  </si>
  <si>
    <t>PORTO ALEGRE COMERCIO MATERIAIS HIDRAULI</t>
  </si>
  <si>
    <t>13.228,00</t>
  </si>
  <si>
    <t>14.189,00</t>
  </si>
  <si>
    <t>1.161,00</t>
  </si>
  <si>
    <t>2.1.1.1.01.000481</t>
  </si>
  <si>
    <t>SIDNEI MARTINS RODRIGUES JUNIOR 02836660</t>
  </si>
  <si>
    <t>52.315,00</t>
  </si>
  <si>
    <t>52.815,00</t>
  </si>
  <si>
    <t>2.1.1.1.01.000490</t>
  </si>
  <si>
    <t>RENTAL TECH LOCACAO CORPORATIVA LTDA</t>
  </si>
  <si>
    <t>10.620,23</t>
  </si>
  <si>
    <t>221,05</t>
  </si>
  <si>
    <t>2.1.1.1.01.000493</t>
  </si>
  <si>
    <t>LOCALIZA RENT A CAR SA</t>
  </si>
  <si>
    <t>35.584,59</t>
  </si>
  <si>
    <t>1.579,99</t>
  </si>
  <si>
    <t>1.838,25</t>
  </si>
  <si>
    <t>258,26</t>
  </si>
  <si>
    <t>2.1.1.1.01.000500</t>
  </si>
  <si>
    <t>MAXIMUS DESENTUPIDORA LTDA</t>
  </si>
  <si>
    <t>1.268,00</t>
  </si>
  <si>
    <t>68,00</t>
  </si>
  <si>
    <t>2.1.1.1.01.000503</t>
  </si>
  <si>
    <t>DISMARINA TRANSPORTES RODOVIARIOS</t>
  </si>
  <si>
    <t>241,29</t>
  </si>
  <si>
    <t>10.373,58</t>
  </si>
  <si>
    <t>10.132,29</t>
  </si>
  <si>
    <t>2.1.1.1.01.000506</t>
  </si>
  <si>
    <t>KABUM COMERCIO ELETRONICO S.A.</t>
  </si>
  <si>
    <t>3.217,93</t>
  </si>
  <si>
    <t>3.479,44</t>
  </si>
  <si>
    <t>261,51</t>
  </si>
  <si>
    <t>2.1.1.1.01.000512</t>
  </si>
  <si>
    <t>SUPERMERCADO BIAZOTO LTDA</t>
  </si>
  <si>
    <t>5.547,93</t>
  </si>
  <si>
    <t>5.892,43</t>
  </si>
  <si>
    <t>344,50</t>
  </si>
  <si>
    <t>32,00</t>
  </si>
  <si>
    <t>2.1.1.1.01.000516</t>
  </si>
  <si>
    <t>2.1.1.1.01.000518</t>
  </si>
  <si>
    <t>2.1.1.1.01.000520</t>
  </si>
  <si>
    <t>BELLER COMERCIO</t>
  </si>
  <si>
    <t>1.010,46</t>
  </si>
  <si>
    <t>1.211,14</t>
  </si>
  <si>
    <t>76,94</t>
  </si>
  <si>
    <t>123,74</t>
  </si>
  <si>
    <t>2.1.1.1.01.000544</t>
  </si>
  <si>
    <t>PRADO PNEUS LTDA</t>
  </si>
  <si>
    <t>40,00</t>
  </si>
  <si>
    <t>90,00</t>
  </si>
  <si>
    <t>50,00</t>
  </si>
  <si>
    <t>2.1.1.1.01.000546</t>
  </si>
  <si>
    <t>2.1.1.1.01.000552</t>
  </si>
  <si>
    <t>TELEFONICA BRASIL</t>
  </si>
  <si>
    <t>1.926,68</t>
  </si>
  <si>
    <t>2.075,68</t>
  </si>
  <si>
    <t>149,00</t>
  </si>
  <si>
    <t>2.1.1.1.01.000556</t>
  </si>
  <si>
    <t>RCTS COMERCIAL LTDA</t>
  </si>
  <si>
    <t>2.010,53</t>
  </si>
  <si>
    <t>2.1.1.1.01.000559</t>
  </si>
  <si>
    <t>LUFT SUL</t>
  </si>
  <si>
    <t>2.523,30</t>
  </si>
  <si>
    <t>2.703,30</t>
  </si>
  <si>
    <t>2.1.1.1.01.000561</t>
  </si>
  <si>
    <t>VOL IMPORTS COMERCIO IMPORTACAO</t>
  </si>
  <si>
    <t>1.510,68</t>
  </si>
  <si>
    <t>4.701,60</t>
  </si>
  <si>
    <t>3.190,92</t>
  </si>
  <si>
    <t>2.1.1.1.01.000579</t>
  </si>
  <si>
    <t>2.1.1.1.01.000581</t>
  </si>
  <si>
    <t>2.1.1.1.01.000582</t>
  </si>
  <si>
    <t>TELEFONICA BRASIL SA</t>
  </si>
  <si>
    <t>32.210,68</t>
  </si>
  <si>
    <t>4.281,61</t>
  </si>
  <si>
    <t>2.1.1.1.01.000583</t>
  </si>
  <si>
    <t>TRANSPORTES E SERVICOS WEIZENMANN LTDA</t>
  </si>
  <si>
    <t>2.1.1.1.01.000589</t>
  </si>
  <si>
    <t>ESFINGE EQUIPAMENTOS DE SEGURANCA LTDA</t>
  </si>
  <si>
    <t>8.498,50</t>
  </si>
  <si>
    <t>185,00</t>
  </si>
  <si>
    <t>2.1.1.1.01.000603</t>
  </si>
  <si>
    <t>ACT - SISTEMAS HIDRAULICOS LTDA</t>
  </si>
  <si>
    <t>9.936,32</t>
  </si>
  <si>
    <t>14.706,70</t>
  </si>
  <si>
    <t>1.590,13</t>
  </si>
  <si>
    <t>3.180,25</t>
  </si>
  <si>
    <t>2.1.1.1.01.000608</t>
  </si>
  <si>
    <t>IRMAOS MALGARIN LTDA</t>
  </si>
  <si>
    <t>2.1.1.1.01.000611</t>
  </si>
  <si>
    <t>MULTIESCAVADEIRAS FA</t>
  </si>
  <si>
    <t>2.1.1.1.01.000615</t>
  </si>
  <si>
    <t>CHOPP HOUSE NORTE COMERCIO DE BEBIDAS LT</t>
  </si>
  <si>
    <t>1.430,00</t>
  </si>
  <si>
    <t>2.000,00</t>
  </si>
  <si>
    <t>570,00</t>
  </si>
  <si>
    <t>2.1.1.1.01.000616</t>
  </si>
  <si>
    <t>TRIPECAS INDUSTRIA E COMERCIO LTDA</t>
  </si>
  <si>
    <t>26.466,67</t>
  </si>
  <si>
    <t>29.486,67</t>
  </si>
  <si>
    <t>2.800,00</t>
  </si>
  <si>
    <t>2.1.1.1.01.000626</t>
  </si>
  <si>
    <t>AST ASSESSORIA EM SEGURANCA DO TRABALHO</t>
  </si>
  <si>
    <t>16.218,00</t>
  </si>
  <si>
    <t>360,00</t>
  </si>
  <si>
    <t>2.1.1.1.01.000631</t>
  </si>
  <si>
    <t>NUCLEO COPIAS E SERVICOS LTDA</t>
  </si>
  <si>
    <t>867,40</t>
  </si>
  <si>
    <t>877,90</t>
  </si>
  <si>
    <t>10,50</t>
  </si>
  <si>
    <t>2.1.1.1.01.000642</t>
  </si>
  <si>
    <t>2.1.1.1.01.000643</t>
  </si>
  <si>
    <t>FB COLHEITA MECANIZADA EIRELI</t>
  </si>
  <si>
    <t>2.1.1.1.01.000653</t>
  </si>
  <si>
    <t>706,71</t>
  </si>
  <si>
    <t>930,87</t>
  </si>
  <si>
    <t>224,16</t>
  </si>
  <si>
    <t>2.1.1.1.01.000655</t>
  </si>
  <si>
    <t>MECANICA MENEGHETTI LTDA</t>
  </si>
  <si>
    <t>12.300,00</t>
  </si>
  <si>
    <t>2.1.1.1.01.000658</t>
  </si>
  <si>
    <t>AGFMAC IMP. EXPORT. E COM. DE MAQUINAS E</t>
  </si>
  <si>
    <t>534,70</t>
  </si>
  <si>
    <t>2.565,82</t>
  </si>
  <si>
    <t>2.031,12</t>
  </si>
  <si>
    <t>2.1.1.1.01.000666</t>
  </si>
  <si>
    <t>INDUSTRIA E COMERCIO DE PRODUTOS TEXTIL</t>
  </si>
  <si>
    <t>11.274,18</t>
  </si>
  <si>
    <t>11.282,18</t>
  </si>
  <si>
    <t>440,00</t>
  </si>
  <si>
    <t>8,00</t>
  </si>
  <si>
    <t>2.1.1.1.01.000668</t>
  </si>
  <si>
    <t>RUBEN JORGE ROLIM RODEL 16521978004</t>
  </si>
  <si>
    <t>3.298,42</t>
  </si>
  <si>
    <t>4.823,42</t>
  </si>
  <si>
    <t>1.525,00</t>
  </si>
  <si>
    <t>2.1.1.1.01.000674</t>
  </si>
  <si>
    <t>2.1.1.1.01.000686</t>
  </si>
  <si>
    <t>LFP CONSERTO DE CAMARAS E PNEUS</t>
  </si>
  <si>
    <t>705,00</t>
  </si>
  <si>
    <t>725,00</t>
  </si>
  <si>
    <t>2.1.1.1.01.000724</t>
  </si>
  <si>
    <t>ALESSANDRA DOS REIS LOCATELLI</t>
  </si>
  <si>
    <t>13.690,79</t>
  </si>
  <si>
    <t>16.085,57</t>
  </si>
  <si>
    <t>2.394,78</t>
  </si>
  <si>
    <t>2.1.1.1.01.000725</t>
  </si>
  <si>
    <t>MANUELA FIGUEREDO TURCATTI</t>
  </si>
  <si>
    <t>11.210,48</t>
  </si>
  <si>
    <t>11.318,74</t>
  </si>
  <si>
    <t>53,49</t>
  </si>
  <si>
    <t>161,75</t>
  </si>
  <si>
    <t>2.1.1.1.01.000728</t>
  </si>
  <si>
    <t>JOINVILLE - EXPRESSO SAO MIGUEL</t>
  </si>
  <si>
    <t>112,31</t>
  </si>
  <si>
    <t>346,00</t>
  </si>
  <si>
    <t>2.1.1.1.01.000733</t>
  </si>
  <si>
    <t>CONEXAO MARITIMA - SERVICOS LOGISTICOS</t>
  </si>
  <si>
    <t>8.576,34</t>
  </si>
  <si>
    <t>2.1.1.1.01.000736</t>
  </si>
  <si>
    <t>GOOGLE CLOUD BRASIL COMPUTAÇAO E SERVICO</t>
  </si>
  <si>
    <t>33.190,48</t>
  </si>
  <si>
    <t>1.421,00</t>
  </si>
  <si>
    <t>2.1.1.1.01.000742</t>
  </si>
  <si>
    <t>SOLENGE COMERCIAL E TECNICA LTDA</t>
  </si>
  <si>
    <t>654,19</t>
  </si>
  <si>
    <t>706,19</t>
  </si>
  <si>
    <t>52,00</t>
  </si>
  <si>
    <t>2.1.1.1.01.000744</t>
  </si>
  <si>
    <t>MARCIO APARECIDO RODRIGUES ALEXANDRE 129</t>
  </si>
  <si>
    <t>49.069,00</t>
  </si>
  <si>
    <t>49.349,00</t>
  </si>
  <si>
    <t>2.380,00</t>
  </si>
  <si>
    <t>2.660,00</t>
  </si>
  <si>
    <t>2.1.1.1.01.000745</t>
  </si>
  <si>
    <t>568,08</t>
  </si>
  <si>
    <t>526,30</t>
  </si>
  <si>
    <t>2.1.1.1.01.000753</t>
  </si>
  <si>
    <t>SOBRATEMA - ASSOCIACAO BRASILEIRA DE TEC</t>
  </si>
  <si>
    <t>6.350,00</t>
  </si>
  <si>
    <t>2.1.1.1.01.000757</t>
  </si>
  <si>
    <t>JADLOG LOGISTICA S.A</t>
  </si>
  <si>
    <t>453,93</t>
  </si>
  <si>
    <t>2.1.1.1.01.000767</t>
  </si>
  <si>
    <t>C.C. OLIVEIRA HIDRAULICOS LTDA</t>
  </si>
  <si>
    <t>4.581,00</t>
  </si>
  <si>
    <t>4.994,00</t>
  </si>
  <si>
    <t>98,00</t>
  </si>
  <si>
    <t>315,00</t>
  </si>
  <si>
    <t>2.1.1.1.01.000775</t>
  </si>
  <si>
    <t>LUIZ GONZAGA PINTO JUNIOR</t>
  </si>
  <si>
    <t>6.430,00</t>
  </si>
  <si>
    <t>425,00</t>
  </si>
  <si>
    <t>2.1.1.1.01.000776</t>
  </si>
  <si>
    <t>QUAZAR - MANUTENCAO E REFORMA PREDIAL LT</t>
  </si>
  <si>
    <t>914,40</t>
  </si>
  <si>
    <t>980,20</t>
  </si>
  <si>
    <t>65,80</t>
  </si>
  <si>
    <t>2.1.1.1.01.000781</t>
  </si>
  <si>
    <t>COMERCIAL ILUMINIM</t>
  </si>
  <si>
    <t>180,26</t>
  </si>
  <si>
    <t>2.1.1.1.01.000784</t>
  </si>
  <si>
    <t>GASMAN COMERCIO DE GASES INDUSTRIAIS LTD</t>
  </si>
  <si>
    <t>6.166,50</t>
  </si>
  <si>
    <t>2.1.1.1.01.000790</t>
  </si>
  <si>
    <t>17.969,09</t>
  </si>
  <si>
    <t>17.969,14</t>
  </si>
  <si>
    <t>0,05</t>
  </si>
  <si>
    <t>2.1.1.1.01.000799</t>
  </si>
  <si>
    <t>POC INDUSTRIA E COMERCIO DE FILTROS LTDA</t>
  </si>
  <si>
    <t>49.817,00</t>
  </si>
  <si>
    <t>2.040,00</t>
  </si>
  <si>
    <t>2.1.1.1.01.000802</t>
  </si>
  <si>
    <t>NB COMERCIO DE MANGUEIRAS, CONEXOES HIDR</t>
  </si>
  <si>
    <t>166.984,87</t>
  </si>
  <si>
    <t>170.531,40</t>
  </si>
  <si>
    <t>5.141,74</t>
  </si>
  <si>
    <t>7.952,54</t>
  </si>
  <si>
    <t>6.357,33</t>
  </si>
  <si>
    <t>2.1.1.1.01.000808</t>
  </si>
  <si>
    <t>TUMELERO MATERIAIS DE CONSTRUCAO LTDA</t>
  </si>
  <si>
    <t>730,20</t>
  </si>
  <si>
    <t>305,20</t>
  </si>
  <si>
    <t>2.1.1.1.01.000814</t>
  </si>
  <si>
    <t>HEADS SOLUCOES EM RECRUTAMENTO LTDA</t>
  </si>
  <si>
    <t>55.412,72</t>
  </si>
  <si>
    <t>55.412,21</t>
  </si>
  <si>
    <t>0,51</t>
  </si>
  <si>
    <t>2.1.1.1.01.000819</t>
  </si>
  <si>
    <t>763,40</t>
  </si>
  <si>
    <t>1.519,50</t>
  </si>
  <si>
    <t>1.512,20</t>
  </si>
  <si>
    <t>756,10</t>
  </si>
  <si>
    <t>2.1.1.1.01.000820</t>
  </si>
  <si>
    <t>2.1.1.1.01.000825</t>
  </si>
  <si>
    <t>2.1.1.1.01.000836</t>
  </si>
  <si>
    <t>AUTO POSTO BRAZUCA LTDA</t>
  </si>
  <si>
    <t>2.1.1.1.01.000840</t>
  </si>
  <si>
    <t>J E INFORMATICA LTDA</t>
  </si>
  <si>
    <t>1.432,57</t>
  </si>
  <si>
    <t>1.662,47</t>
  </si>
  <si>
    <t>229,90</t>
  </si>
  <si>
    <t>2.1.1.1.01.000844</t>
  </si>
  <si>
    <t>ARTHUR TOTOLA PEDROTI</t>
  </si>
  <si>
    <t>64.554,74</t>
  </si>
  <si>
    <t>979,33</t>
  </si>
  <si>
    <t>2.1.1.1.01.000850</t>
  </si>
  <si>
    <t>53.837.421 JEFFERSON LUIS BALESTRIN</t>
  </si>
  <si>
    <t>178.060,02</t>
  </si>
  <si>
    <t>182.690,27</t>
  </si>
  <si>
    <t>12.837,84</t>
  </si>
  <si>
    <t>9.171,07</t>
  </si>
  <si>
    <t>963,48</t>
  </si>
  <si>
    <t>2.1.1.1.01.000860</t>
  </si>
  <si>
    <t>SILVA CORREIA COMERCIAL ELETRICA LTDA</t>
  </si>
  <si>
    <t>179,92</t>
  </si>
  <si>
    <t>183,42</t>
  </si>
  <si>
    <t>3,50</t>
  </si>
  <si>
    <t>2.1.1.1.01.000867</t>
  </si>
  <si>
    <t>SOS MAQUINAS E PECAS LTDA</t>
  </si>
  <si>
    <t>3.629,28</t>
  </si>
  <si>
    <t>370,72</t>
  </si>
  <si>
    <t>2.1.1.1.01.000868</t>
  </si>
  <si>
    <t>H. C. DE MACEDO RECICLAVEIS</t>
  </si>
  <si>
    <t>1.067,00</t>
  </si>
  <si>
    <t>187,00</t>
  </si>
  <si>
    <t>2.1.1.1.01.000873</t>
  </si>
  <si>
    <t>TK TRANSFER COMERCIO DE PRODUTOS LTDA</t>
  </si>
  <si>
    <t>786,68</t>
  </si>
  <si>
    <t>2.1.1.1.01.000877</t>
  </si>
  <si>
    <t>FUSOPAR PARAFUSOS LTDA</t>
  </si>
  <si>
    <t>71,30</t>
  </si>
  <si>
    <t>81,70</t>
  </si>
  <si>
    <t>10,40</t>
  </si>
  <si>
    <t>2.1.1.1.01.000878</t>
  </si>
  <si>
    <t>J. FIOREZZI INFORMATICA LTDA</t>
  </si>
  <si>
    <t>199,00</t>
  </si>
  <si>
    <t>2.1.1.1.01.000879</t>
  </si>
  <si>
    <t>54.763.640 MIGUEL MASONI BIFANO</t>
  </si>
  <si>
    <t>433.973,32</t>
  </si>
  <si>
    <t>428.822,47</t>
  </si>
  <si>
    <t>21.425,90</t>
  </si>
  <si>
    <t>20.728,10</t>
  </si>
  <si>
    <t>5.848,65</t>
  </si>
  <si>
    <t>2.1.1.1.01.000886</t>
  </si>
  <si>
    <t>VICTOR HUGO OLIVEIRA DOS SANTOS</t>
  </si>
  <si>
    <t>21.793,17</t>
  </si>
  <si>
    <t>22.008,17</t>
  </si>
  <si>
    <t>215,00</t>
  </si>
  <si>
    <t>2.1.1.1.01.000888</t>
  </si>
  <si>
    <t>CONSTRUMAIS LOCACAO DE EQUIPAMENTOS LTDA</t>
  </si>
  <si>
    <t>5.613,00</t>
  </si>
  <si>
    <t>6.353,00</t>
  </si>
  <si>
    <t>740,00</t>
  </si>
  <si>
    <t>2.1.1.1.01.000899</t>
  </si>
  <si>
    <t>DISTRIBUIDORA LTDA</t>
  </si>
  <si>
    <t>4.047,00</t>
  </si>
  <si>
    <t>2.1.1.1.01.000903</t>
  </si>
  <si>
    <t>CLAUDIO R.NORONHA &amp; CIA. LTDA</t>
  </si>
  <si>
    <t>12.199,12</t>
  </si>
  <si>
    <t>12.462,90</t>
  </si>
  <si>
    <t>263,78</t>
  </si>
  <si>
    <t>2.1.1.1.01.000918</t>
  </si>
  <si>
    <t>3.255,76</t>
  </si>
  <si>
    <t>380,00</t>
  </si>
  <si>
    <t>2.1.1.1.01.000921</t>
  </si>
  <si>
    <t>POLAR MAQUINAS E MOTORES LTDA. E P P</t>
  </si>
  <si>
    <t>19.018,01</t>
  </si>
  <si>
    <t>19.758,39</t>
  </si>
  <si>
    <t>126,85</t>
  </si>
  <si>
    <t>429,18</t>
  </si>
  <si>
    <t>1.042,71</t>
  </si>
  <si>
    <t>2.1.1.1.01.000922</t>
  </si>
  <si>
    <t>S C M PIERETTI &amp; CIA LTDA</t>
  </si>
  <si>
    <t>1.028,21</t>
  </si>
  <si>
    <t>1.255,61</t>
  </si>
  <si>
    <t>227,40</t>
  </si>
  <si>
    <t>2.1.1.1.01.000926</t>
  </si>
  <si>
    <t>COMERCIAL DE TINTAS CABRELON &amp; FERREIRA</t>
  </si>
  <si>
    <t>14.123,97</t>
  </si>
  <si>
    <t>14.183,97</t>
  </si>
  <si>
    <t>2.1.1.1.01.000932</t>
  </si>
  <si>
    <t>COMPANHIA ZAFFARI COMERCIO E INDUSTRIA</t>
  </si>
  <si>
    <t>250,38</t>
  </si>
  <si>
    <t>737,60</t>
  </si>
  <si>
    <t>153,28</t>
  </si>
  <si>
    <t>487,22</t>
  </si>
  <si>
    <t>2.1.1.1.01.000935</t>
  </si>
  <si>
    <t>BRASIL SUL ENCOMENDAS RAPIDAS LTDA</t>
  </si>
  <si>
    <t>158,22</t>
  </si>
  <si>
    <t>2.1.1.1.01.000941</t>
  </si>
  <si>
    <t>LIDER ELETRICA DE MOTORES LTDA</t>
  </si>
  <si>
    <t>10.110,00</t>
  </si>
  <si>
    <t>550,00</t>
  </si>
  <si>
    <t>2.1.1.1.01.000949</t>
  </si>
  <si>
    <t>COELHO LIMA ARQUITETURA LTDA</t>
  </si>
  <si>
    <t>59.302,34</t>
  </si>
  <si>
    <t>60.693,50</t>
  </si>
  <si>
    <t>1.391,16</t>
  </si>
  <si>
    <t>2.1.1.1.01.000951</t>
  </si>
  <si>
    <t>MONTEJANI E FILHOS LTDA</t>
  </si>
  <si>
    <t>66.162,75</t>
  </si>
  <si>
    <t>2.875,16</t>
  </si>
  <si>
    <t>2.1.1.1.01.000955</t>
  </si>
  <si>
    <t>55.895.367 THIAGO RIBEIRO DA COSTA MACED</t>
  </si>
  <si>
    <t>159.148,23</t>
  </si>
  <si>
    <t>163.564,42</t>
  </si>
  <si>
    <t>10.142,76</t>
  </si>
  <si>
    <t>9.488,72</t>
  </si>
  <si>
    <t>3.762,15</t>
  </si>
  <si>
    <t>2.1.1.1.01.000956</t>
  </si>
  <si>
    <t>700,50</t>
  </si>
  <si>
    <t>119,00</t>
  </si>
  <si>
    <t>2.1.1.1.01.000964</t>
  </si>
  <si>
    <t>CIA ZAFFARI COM E IND</t>
  </si>
  <si>
    <t>250,66</t>
  </si>
  <si>
    <t>269,45</t>
  </si>
  <si>
    <t>18,79</t>
  </si>
  <si>
    <t>2.1.1.1.01.000966</t>
  </si>
  <si>
    <t>MOVECTA S.A</t>
  </si>
  <si>
    <t>13.264,41</t>
  </si>
  <si>
    <t>8.912,21</t>
  </si>
  <si>
    <t>2.1.1.1.01.000971</t>
  </si>
  <si>
    <t>H F C EMPREENDIMENTOS E SERVICOS LTDA</t>
  </si>
  <si>
    <t>98,34</t>
  </si>
  <si>
    <t>2.1.1.1.01.000979</t>
  </si>
  <si>
    <t>IRNO GOSMANN - SERRALHEIRA</t>
  </si>
  <si>
    <t>750,00</t>
  </si>
  <si>
    <t>2.1.1.1.01.000984</t>
  </si>
  <si>
    <t>SANTANDER BRASIL ADMINISTRADORA DE CONSO</t>
  </si>
  <si>
    <t>54.638,62</t>
  </si>
  <si>
    <t>2.1.1.1.01.000988</t>
  </si>
  <si>
    <t>CENTERPLASTER PRODUTOS PARA CONSTRUCAO L</t>
  </si>
  <si>
    <t>7.655,48</t>
  </si>
  <si>
    <t>7.895,48</t>
  </si>
  <si>
    <t>240,00</t>
  </si>
  <si>
    <t>2.1.1.1.01.000994</t>
  </si>
  <si>
    <t>28.391,00</t>
  </si>
  <si>
    <t>32.704,33</t>
  </si>
  <si>
    <t>4.150,00</t>
  </si>
  <si>
    <t>2.1.1.1.01.000998</t>
  </si>
  <si>
    <t>ROLAMAIS DISTRIBUIDORA DE ROLAMENTOS E P</t>
  </si>
  <si>
    <t>526,00</t>
  </si>
  <si>
    <t>134,80</t>
  </si>
  <si>
    <t>2.1.1.1.01.001002</t>
  </si>
  <si>
    <t>MULTI COMERCIO DE MATERIAL DE CONSTRUCAO</t>
  </si>
  <si>
    <t>5.306,19</t>
  </si>
  <si>
    <t>6.913,50</t>
  </si>
  <si>
    <t>1.607,31</t>
  </si>
  <si>
    <t>2.1.1.1.01.001007</t>
  </si>
  <si>
    <t>REDE MACACOS HIDRAULICOS LTDA</t>
  </si>
  <si>
    <t>1.820,00</t>
  </si>
  <si>
    <t>1.859,00</t>
  </si>
  <si>
    <t>39,00</t>
  </si>
  <si>
    <t>2.1.1.1.01.001008</t>
  </si>
  <si>
    <t>C P PORTO LTDA</t>
  </si>
  <si>
    <t>31.699,23</t>
  </si>
  <si>
    <t>32.963,40</t>
  </si>
  <si>
    <t>2.587,14</t>
  </si>
  <si>
    <t>1.754,16</t>
  </si>
  <si>
    <t>431,19</t>
  </si>
  <si>
    <t>2.1.1.1.01.001009</t>
  </si>
  <si>
    <t>LWSA S/A</t>
  </si>
  <si>
    <t>1.155,00</t>
  </si>
  <si>
    <t>110,00</t>
  </si>
  <si>
    <t>2.1.1.1.01.001011</t>
  </si>
  <si>
    <t>CIGAME COMERCIO DE MATERIAL ELETRICO E H</t>
  </si>
  <si>
    <t>8.457,75</t>
  </si>
  <si>
    <t>8.481,64</t>
  </si>
  <si>
    <t>23,89</t>
  </si>
  <si>
    <t>2.1.1.1.01.001013</t>
  </si>
  <si>
    <t>CONSIGAZ CILINDROS LTDA</t>
  </si>
  <si>
    <t>4.564,98</t>
  </si>
  <si>
    <t>4.858,11</t>
  </si>
  <si>
    <t>293,13</t>
  </si>
  <si>
    <t>2.1.1.1.01.001023</t>
  </si>
  <si>
    <t>GLOBAL DISTRIBUICAO DE BENS DE CONSUMO L</t>
  </si>
  <si>
    <t>9.195,23</t>
  </si>
  <si>
    <t>9.774,60</t>
  </si>
  <si>
    <t>579,37</t>
  </si>
  <si>
    <t>2.1.1.1.01.001028</t>
  </si>
  <si>
    <t>T E C METALURGICA LTDA</t>
  </si>
  <si>
    <t>554,40</t>
  </si>
  <si>
    <t>2.1.1.1.01.001032</t>
  </si>
  <si>
    <t>57.588.738 GABRIEL SANTOS DOS SANTOS</t>
  </si>
  <si>
    <t>990,00</t>
  </si>
  <si>
    <t>2.1.1.1.01.001033</t>
  </si>
  <si>
    <t>AIR LIQUIDE BRASIL LTDA</t>
  </si>
  <si>
    <t>1.660,40</t>
  </si>
  <si>
    <t>1.720,88</t>
  </si>
  <si>
    <t>60,48</t>
  </si>
  <si>
    <t>120,96</t>
  </si>
  <si>
    <t>2.1.1.1.01.001040</t>
  </si>
  <si>
    <t>PG COMERCIO E TRANSPORTES</t>
  </si>
  <si>
    <t>23,00</t>
  </si>
  <si>
    <t>2.1.1.1.01.001042</t>
  </si>
  <si>
    <t>ZUZU COMERCIO DE COMBUSTIVEIS</t>
  </si>
  <si>
    <t>256,25</t>
  </si>
  <si>
    <t>2.1.1.1.01.001047</t>
  </si>
  <si>
    <t>DEMOSTENES PINTO ADVOGADOS</t>
  </si>
  <si>
    <t>13.996,62</t>
  </si>
  <si>
    <t>14.159,37</t>
  </si>
  <si>
    <t>3.324,37</t>
  </si>
  <si>
    <t>162,75</t>
  </si>
  <si>
    <t>2.1.1.1.01.001050</t>
  </si>
  <si>
    <t>JUMBO EQUIPAMENTOS ELETRICOS LTDA</t>
  </si>
  <si>
    <t>62,99</t>
  </si>
  <si>
    <t>2.1.1.1.01.001051</t>
  </si>
  <si>
    <t>FABIO DA MOTA BARNABE 37701005811</t>
  </si>
  <si>
    <t>6.374,55</t>
  </si>
  <si>
    <t>11.174,23</t>
  </si>
  <si>
    <t>4.799,68</t>
  </si>
  <si>
    <t>2.1.1.1.01.001055</t>
  </si>
  <si>
    <t>TRANSCACHOEIRO TRANSPORTE CARGAS LTDA</t>
  </si>
  <si>
    <t>522,90</t>
  </si>
  <si>
    <t>2.1.1.1.01.001061</t>
  </si>
  <si>
    <t>LCN NICOLA LTDA</t>
  </si>
  <si>
    <t>54.449,74</t>
  </si>
  <si>
    <t>54.461,05</t>
  </si>
  <si>
    <t>11,31</t>
  </si>
  <si>
    <t>2.1.1.1.01.001073</t>
  </si>
  <si>
    <t>IGOR SCANAVACHI LEMES</t>
  </si>
  <si>
    <t>125.476,99</t>
  </si>
  <si>
    <t>130.152,52</t>
  </si>
  <si>
    <t>7.426,45</t>
  </si>
  <si>
    <t>4.660,11</t>
  </si>
  <si>
    <t>1.909,19</t>
  </si>
  <si>
    <t>2.1.1.1.01.001074</t>
  </si>
  <si>
    <t>COMERCIAL TV TUBOLANDIA LTDA</t>
  </si>
  <si>
    <t>49,90</t>
  </si>
  <si>
    <t>2.1.1.1.01.001077</t>
  </si>
  <si>
    <t>CLEITON LUIZ SWIATOVY</t>
  </si>
  <si>
    <t>17.635,00</t>
  </si>
  <si>
    <t>18.765,00</t>
  </si>
  <si>
    <t>1.840,00</t>
  </si>
  <si>
    <t>1.050,00</t>
  </si>
  <si>
    <t>340,00</t>
  </si>
  <si>
    <t>2.1.1.1.01.001082</t>
  </si>
  <si>
    <t>BELLER COMERCIO DE PAPEIS LTDS</t>
  </si>
  <si>
    <t>61,98</t>
  </si>
  <si>
    <t>2.1.1.1.01.001083</t>
  </si>
  <si>
    <t>ENCOPEL COMERCIO DE ROLAMENTOS E PECAS L</t>
  </si>
  <si>
    <t>114,18</t>
  </si>
  <si>
    <t>2.1.1.1.01.001084</t>
  </si>
  <si>
    <t>AGROPECUARIA ASSENAV E LEUMAS LTDA</t>
  </si>
  <si>
    <t>134,00</t>
  </si>
  <si>
    <t>15,00</t>
  </si>
  <si>
    <t>2.1.1.1.01.001085</t>
  </si>
  <si>
    <t>D.M.TRANSPORTADORA LTDA</t>
  </si>
  <si>
    <t>1.315,19</t>
  </si>
  <si>
    <t>2.1.1.1.01.001092</t>
  </si>
  <si>
    <t>ISOFASES ACESSORIOS ELETRICOS LTDA</t>
  </si>
  <si>
    <t>196,04</t>
  </si>
  <si>
    <t>2.1.1.1.01.001097</t>
  </si>
  <si>
    <t>PLAY COMP COMPONENTES ELETRONICOS LTDA</t>
  </si>
  <si>
    <t>30,60</t>
  </si>
  <si>
    <t>2.1.1.1.01.001099</t>
  </si>
  <si>
    <t>BMC MAQ PECAS E SERVICOS LTDA</t>
  </si>
  <si>
    <t>58,98</t>
  </si>
  <si>
    <t>79,97</t>
  </si>
  <si>
    <t>20,99</t>
  </si>
  <si>
    <t>2.1.1.1.01.001103</t>
  </si>
  <si>
    <t>BRA PRODUTOS LTDA</t>
  </si>
  <si>
    <t>401,24</t>
  </si>
  <si>
    <t>1.512,56</t>
  </si>
  <si>
    <t>1.111,32</t>
  </si>
  <si>
    <t>2.1.1.1.01.001105</t>
  </si>
  <si>
    <t>GHT EQUIPAMENTOS ELETRICOS LTDA</t>
  </si>
  <si>
    <t>2.1.1.1.01.001106</t>
  </si>
  <si>
    <t>NOBREGA E NOBREGA COMERCIO DE MATERIAIS</t>
  </si>
  <si>
    <t>25,54</t>
  </si>
  <si>
    <t>2.1.1.1.01.001107</t>
  </si>
  <si>
    <t>DIFERENCIAL TRATORES INDUSTRIA E COMERCI</t>
  </si>
  <si>
    <t>5.110,88</t>
  </si>
  <si>
    <t>2.891,00</t>
  </si>
  <si>
    <t>2.1.1.1.01.001108</t>
  </si>
  <si>
    <t>ELETROPLAC INDUSTRIA E COMERCIO LTDA</t>
  </si>
  <si>
    <t>131,91</t>
  </si>
  <si>
    <t>2.1.1.1.01.001109</t>
  </si>
  <si>
    <t>CARLOS ISMAEL MARRARA 02461365881</t>
  </si>
  <si>
    <t>48,34</t>
  </si>
  <si>
    <t>2.1.1.1.01.001111</t>
  </si>
  <si>
    <t>TEKNI MAS MAQUINAS LTDA</t>
  </si>
  <si>
    <t>172,99</t>
  </si>
  <si>
    <t>472,96</t>
  </si>
  <si>
    <t>299,97</t>
  </si>
  <si>
    <t>2.1.1.1.01.001112</t>
  </si>
  <si>
    <t>RCB PAINEIS ELETRICOS LTDA</t>
  </si>
  <si>
    <t>2.1.1.1.01.001114</t>
  </si>
  <si>
    <t>GS4 TRATOR PECAS IMPORTACAO COMERCIO E S</t>
  </si>
  <si>
    <t>2.1.1.1.01.001116</t>
  </si>
  <si>
    <t>ALESANDRO FRANCISCO SOUZA</t>
  </si>
  <si>
    <t>33,22</t>
  </si>
  <si>
    <t>68,20</t>
  </si>
  <si>
    <t>34,98</t>
  </si>
  <si>
    <t>2.1.1.1.01.001117</t>
  </si>
  <si>
    <t>V CHINEN COMERCIAL HIDRAULICA</t>
  </si>
  <si>
    <t>120,00</t>
  </si>
  <si>
    <t>502,58</t>
  </si>
  <si>
    <t>382,58</t>
  </si>
  <si>
    <t>2.1.1.1.01.001118</t>
  </si>
  <si>
    <t>GMC COMPONENTES ELETRICOS E AUTOMACAO LT</t>
  </si>
  <si>
    <t>37,70</t>
  </si>
  <si>
    <t>2.1.1.1.01.001127</t>
  </si>
  <si>
    <t>MMLOG TRASPORTES</t>
  </si>
  <si>
    <t>10.726,55</t>
  </si>
  <si>
    <t>10.971,55</t>
  </si>
  <si>
    <t>245,00</t>
  </si>
  <si>
    <t>2.1.1.1.01.001129</t>
  </si>
  <si>
    <t>PLENOBRAS DISTRIBUIDORA ELETRICA E HIDRA</t>
  </si>
  <si>
    <t>2.354,55</t>
  </si>
  <si>
    <t>3.262,26</t>
  </si>
  <si>
    <t>907,71</t>
  </si>
  <si>
    <t>2.1.1.1.01.001131</t>
  </si>
  <si>
    <t>AK COMERCIO LTDA</t>
  </si>
  <si>
    <t>3.191,93</t>
  </si>
  <si>
    <t>3.345,51</t>
  </si>
  <si>
    <t>185,75</t>
  </si>
  <si>
    <t>153,58</t>
  </si>
  <si>
    <t>2.1.1.1.01.001133</t>
  </si>
  <si>
    <t>BAFF INDUSTRIAL METALICOS LTDA</t>
  </si>
  <si>
    <t>30.756,00</t>
  </si>
  <si>
    <t>30.755,99</t>
  </si>
  <si>
    <t>2.1.1.1.01.001139</t>
  </si>
  <si>
    <t>THIAGO DA SILVA COSTA COMERCIO, IMPORTAC</t>
  </si>
  <si>
    <t>289,00</t>
  </si>
  <si>
    <t>394,00</t>
  </si>
  <si>
    <t>105,00</t>
  </si>
  <si>
    <t>2.1.1.1.01.001141</t>
  </si>
  <si>
    <t>HAMILTON NEVES GOMES</t>
  </si>
  <si>
    <t>13.110,95</t>
  </si>
  <si>
    <t>14.063,23</t>
  </si>
  <si>
    <t>952,28</t>
  </si>
  <si>
    <t>2.1.1.1.01.001142</t>
  </si>
  <si>
    <t>JOEL PEIXOTO DA SILVA</t>
  </si>
  <si>
    <t>6.114,86</t>
  </si>
  <si>
    <t>6.636,90</t>
  </si>
  <si>
    <t>3.651,50</t>
  </si>
  <si>
    <t>522,04</t>
  </si>
  <si>
    <t>2.1.1.1.01.001143</t>
  </si>
  <si>
    <t>USINAGEM N. J. LTDA</t>
  </si>
  <si>
    <t>10.185,61</t>
  </si>
  <si>
    <t>10.250,61</t>
  </si>
  <si>
    <t>65,00</t>
  </si>
  <si>
    <t>2.1.1.1.01.001144</t>
  </si>
  <si>
    <t>31.550,00</t>
  </si>
  <si>
    <t>5.800,00</t>
  </si>
  <si>
    <t>2.1.1.1.01.001151</t>
  </si>
  <si>
    <t>D ARCADIA, NOVO E SERRANO LTDA.</t>
  </si>
  <si>
    <t>77,90</t>
  </si>
  <si>
    <t>64,00</t>
  </si>
  <si>
    <t>2.1.1.1.01.001156</t>
  </si>
  <si>
    <t>30.022.095 RODRIGO DONIZETI SCHIAVONI</t>
  </si>
  <si>
    <t>980,00</t>
  </si>
  <si>
    <t>2.1.1.1.01.001158</t>
  </si>
  <si>
    <t>EQUIPE SANCHES VARIEDADES LTDA</t>
  </si>
  <si>
    <t>85,48</t>
  </si>
  <si>
    <t>207,28</t>
  </si>
  <si>
    <t>121,80</t>
  </si>
  <si>
    <t>2.1.1.1.01.001168</t>
  </si>
  <si>
    <t>MONTICELLI E CIA LTDA</t>
  </si>
  <si>
    <t>376,60</t>
  </si>
  <si>
    <t>2.1.1.1.01.001169</t>
  </si>
  <si>
    <t>2.1.1.1.01.001173</t>
  </si>
  <si>
    <t>SILAS VINICIUS DE OLIVEIRA</t>
  </si>
  <si>
    <t>768,00</t>
  </si>
  <si>
    <t>2.1.1.1.01.001174</t>
  </si>
  <si>
    <t>ATOZ DISTRIBUIDORA LTDA</t>
  </si>
  <si>
    <t>35,42</t>
  </si>
  <si>
    <t>2.1.1.1.01.001176</t>
  </si>
  <si>
    <t>EBAZAR.COM.BR LTDA</t>
  </si>
  <si>
    <t>549,34</t>
  </si>
  <si>
    <t>2.1.1.1.01.001177</t>
  </si>
  <si>
    <t>INDUSTRIA E COMERCIO DE CARIMBOS SAO MAT</t>
  </si>
  <si>
    <t>51,98</t>
  </si>
  <si>
    <t>2.1.1.1.01.001180</t>
  </si>
  <si>
    <t>MISET COMERCIO ELETRONICO EIRELI</t>
  </si>
  <si>
    <t>513,98</t>
  </si>
  <si>
    <t>2.1.1.1.01.001181</t>
  </si>
  <si>
    <t>SANTANA CENTRO DAS ANTENAS LTDA</t>
  </si>
  <si>
    <t>121,18</t>
  </si>
  <si>
    <t>2.1.1.1.01.001183</t>
  </si>
  <si>
    <t>F MARDEGAN LTDA</t>
  </si>
  <si>
    <t>65,08</t>
  </si>
  <si>
    <t>2.1.1.1.01.001187</t>
  </si>
  <si>
    <t>DERONI SOLDAS ESPECIAIS LTDA</t>
  </si>
  <si>
    <t>630,00</t>
  </si>
  <si>
    <t>150,00</t>
  </si>
  <si>
    <t>2.1.1.1.01.001191</t>
  </si>
  <si>
    <t>ALESSANDRO MACHADO DA SILVA E CIA LTDA</t>
  </si>
  <si>
    <t>390,00</t>
  </si>
  <si>
    <t>2.1.1.1.01.001194</t>
  </si>
  <si>
    <t>ABASTECEDORA DE COMBUSTIVEIS PHOENIX LTD</t>
  </si>
  <si>
    <t>680,88</t>
  </si>
  <si>
    <t>480,88</t>
  </si>
  <si>
    <t>2.1.1.1.01.001196</t>
  </si>
  <si>
    <t>MAXIMO COMERCIAL E TECNICA DE MAQUINAS L</t>
  </si>
  <si>
    <t>265,00</t>
  </si>
  <si>
    <t>160,00</t>
  </si>
  <si>
    <t>2.1.1.1.01.001198</t>
  </si>
  <si>
    <t>COMERCIO DE FERRAGENS LAMPIAO LTDA</t>
  </si>
  <si>
    <t>77,20</t>
  </si>
  <si>
    <t>88,00</t>
  </si>
  <si>
    <t>2.1.1.1.01.001203</t>
  </si>
  <si>
    <t>ABASTECEDORA PAULO MOREIRA LTDA FILIAL 1</t>
  </si>
  <si>
    <t>273,62</t>
  </si>
  <si>
    <t>2.1.1.1.01.001209</t>
  </si>
  <si>
    <t>3.100,00</t>
  </si>
  <si>
    <t>2.1.1.1.01.001218</t>
  </si>
  <si>
    <t>2.1.1.1.01.002122</t>
  </si>
  <si>
    <t>FERPLUS FERRAMENTAS E EQUIPAMENTOS LTDA</t>
  </si>
  <si>
    <t>99,90</t>
  </si>
  <si>
    <t>2.1.1.1.01.002123</t>
  </si>
  <si>
    <t>CONCEPT COMERCIO E DISTRIBUIDORA DE FERR</t>
  </si>
  <si>
    <t>157,58</t>
  </si>
  <si>
    <t>2.1.1.1.01.002124</t>
  </si>
  <si>
    <t>OXI-BAETA MATERIAIS PARA SOLDA LTDA</t>
  </si>
  <si>
    <t>294,14</t>
  </si>
  <si>
    <t>2.1.1.1.01.002125</t>
  </si>
  <si>
    <t>SETE IMPORTACAO LTDA</t>
  </si>
  <si>
    <t>225,00</t>
  </si>
  <si>
    <t>2.1.1.1.01.002126</t>
  </si>
  <si>
    <t>BON BLU INDUSTRIA E COMERCIO LTDA</t>
  </si>
  <si>
    <t>40,80</t>
  </si>
  <si>
    <t>2.1.1.1.01.002138</t>
  </si>
  <si>
    <t>RTI AUTOMACAO COMERCIO E INSTALACOES LTD</t>
  </si>
  <si>
    <t>9.008,28</t>
  </si>
  <si>
    <t>2.1.1.1.01.002149</t>
  </si>
  <si>
    <t>PLANALTO ENCOMENDAS LTDA</t>
  </si>
  <si>
    <t>1.392,14</t>
  </si>
  <si>
    <t>1.501,11</t>
  </si>
  <si>
    <t>108,97</t>
  </si>
  <si>
    <t>2.1.1.1.01.002151</t>
  </si>
  <si>
    <t>LC SAO JOAO USINAGEM LTDA</t>
  </si>
  <si>
    <t>2.1.1.1.01.002152</t>
  </si>
  <si>
    <t>G F CAMPAGNOLI</t>
  </si>
  <si>
    <t>33,88</t>
  </si>
  <si>
    <t>2.1.1.1.01.002153</t>
  </si>
  <si>
    <t>PETROSUL ABAST DE COMB LTDA</t>
  </si>
  <si>
    <t>2.1.1.1.01.002154</t>
  </si>
  <si>
    <t>FAS ECOMMERCE COMERCIO ELETRONICO LTDA</t>
  </si>
  <si>
    <t>42,90</t>
  </si>
  <si>
    <t>2.1.1.1.01.002155</t>
  </si>
  <si>
    <t>RODRIGUES IMPORTADORA E DISTRIBUIDORA</t>
  </si>
  <si>
    <t>35,00</t>
  </si>
  <si>
    <t>2.1.1.1.01.002158</t>
  </si>
  <si>
    <t>MICHELE F. DA SILVA</t>
  </si>
  <si>
    <t>1.294,09</t>
  </si>
  <si>
    <t>2.688,16</t>
  </si>
  <si>
    <t>1.394,07</t>
  </si>
  <si>
    <t>2.1.1.1.01.002170</t>
  </si>
  <si>
    <t>KIDECOR ATACADO E VAREJO DE PRODUTOS</t>
  </si>
  <si>
    <t>24,90</t>
  </si>
  <si>
    <t>2.1.1.1.01.002173</t>
  </si>
  <si>
    <t>ROLABRAS ROLAMENTOS E PEÇAS LTDA</t>
  </si>
  <si>
    <t>400,00</t>
  </si>
  <si>
    <t>2.1.1.1.01.002180</t>
  </si>
  <si>
    <t>CIA DO SHOPP DISTRIBUIDORA DE BEBIDAS LTDA</t>
  </si>
  <si>
    <t>2.115,00</t>
  </si>
  <si>
    <t>2.1.1.1.01.002191</t>
  </si>
  <si>
    <t>A S USINAGEM INDUSTRIAL LTDA</t>
  </si>
  <si>
    <t>8.880,31</t>
  </si>
  <si>
    <t>8.887,28</t>
  </si>
  <si>
    <t>6,97</t>
  </si>
  <si>
    <t>2.1.1.1.01.002192</t>
  </si>
  <si>
    <t>FILIAL - VAREJISTA</t>
  </si>
  <si>
    <t>1.599,89</t>
  </si>
  <si>
    <t>2.1.1.1.01.002197</t>
  </si>
  <si>
    <t>GUSTAVO CESAR PELISTRE - TREINAMENTOS LTDA</t>
  </si>
  <si>
    <t>367,46</t>
  </si>
  <si>
    <t>2.1.1.1.01.002198</t>
  </si>
  <si>
    <t>ELETRICA 5G LTDA</t>
  </si>
  <si>
    <t>78,90</t>
  </si>
  <si>
    <t>2.1.1.1.01.002200</t>
  </si>
  <si>
    <t>BAU DA EETRONICA COMPONENTES</t>
  </si>
  <si>
    <t>25,70</t>
  </si>
  <si>
    <t>2.1.1.1.01.002201</t>
  </si>
  <si>
    <t>LUCIANO CHIARELO E CIA - ME</t>
  </si>
  <si>
    <t>58,23</t>
  </si>
  <si>
    <t>2.1.1.1.01.002202</t>
  </si>
  <si>
    <t>J M SOARES MATERIAIS ELETRICOS LTDA</t>
  </si>
  <si>
    <t>45,34</t>
  </si>
  <si>
    <t>2.1.1.1.01.002203</t>
  </si>
  <si>
    <t>R D QUEIROZ CIA LTDA</t>
  </si>
  <si>
    <t>91,07</t>
  </si>
  <si>
    <t>140,07</t>
  </si>
  <si>
    <t>49,00</t>
  </si>
  <si>
    <t>2.1.1.1.01.002204</t>
  </si>
  <si>
    <t>CHICHO UTILIDADES LTDA</t>
  </si>
  <si>
    <t>35,40</t>
  </si>
  <si>
    <t>2.1.1.1.01.002206</t>
  </si>
  <si>
    <t>NADIA COMPONENTES ELETRONICOS</t>
  </si>
  <si>
    <t>38,00</t>
  </si>
  <si>
    <t>2.1.1.1.01.002207</t>
  </si>
  <si>
    <t>DISTRIBUIDORA KELFER LTDA</t>
  </si>
  <si>
    <t>30,03</t>
  </si>
  <si>
    <t>2.1.1.1.01.002208</t>
  </si>
  <si>
    <t>EZCOMP LTDA</t>
  </si>
  <si>
    <t>28,21</t>
  </si>
  <si>
    <t>2.1.1.1.01.002211</t>
  </si>
  <si>
    <t>SNAP COMERCIO E DISTRIBUIDORA DE PRODUTOS</t>
  </si>
  <si>
    <t>31,86</t>
  </si>
  <si>
    <t>2.1.1.1.01.002212</t>
  </si>
  <si>
    <t>SINERGIA SOLUÇÕES LTDA</t>
  </si>
  <si>
    <t>144,04</t>
  </si>
  <si>
    <t>2.1.1.1.01.002213</t>
  </si>
  <si>
    <t>AUGERMAX LTDA</t>
  </si>
  <si>
    <t>39,50</t>
  </si>
  <si>
    <t>2.1.1.1.01.002215</t>
  </si>
  <si>
    <t>MATESA MATERIAIS ELETRICOS LTDA</t>
  </si>
  <si>
    <t>28,55</t>
  </si>
  <si>
    <t>2.1.1.1.01.002216</t>
  </si>
  <si>
    <t>PROJETTE COMERCIO E SERVIÇOS</t>
  </si>
  <si>
    <t>2.1.1.1.01.002219</t>
  </si>
  <si>
    <t>DIGEL ELETRICA LTDA</t>
  </si>
  <si>
    <t>56,21</t>
  </si>
  <si>
    <t>2.1.1.1.01.002220</t>
  </si>
  <si>
    <t>SEPAIA INOVACOES TECNOLOGICAS LTDA</t>
  </si>
  <si>
    <t>864,00</t>
  </si>
  <si>
    <t>96,00</t>
  </si>
  <si>
    <t>192,00</t>
  </si>
  <si>
    <t>2.1.1.1.01.002221</t>
  </si>
  <si>
    <t>CRUZ IBEIRO MATERIAIS GERAIS LTDA</t>
  </si>
  <si>
    <t>58,19</t>
  </si>
  <si>
    <t>2.1.1.1.01.002223</t>
  </si>
  <si>
    <t>COOCATRANS S.A</t>
  </si>
  <si>
    <t>252,72</t>
  </si>
  <si>
    <t>2.1.1.1.01.002224</t>
  </si>
  <si>
    <t>POSTO DE COMB DEA LTDA</t>
  </si>
  <si>
    <t>2.1.1.1.01.002232</t>
  </si>
  <si>
    <t>TELEFONICA BRASIL S.A. EA ALEA ESP S PINHAL SP</t>
  </si>
  <si>
    <t>26,00</t>
  </si>
  <si>
    <t>13,00</t>
  </si>
  <si>
    <t>2.1.1.1.01.002233</t>
  </si>
  <si>
    <t>LOGMAIS ETIQUETAS ADESIVAS LTDA</t>
  </si>
  <si>
    <t>114,98</t>
  </si>
  <si>
    <t>2.1.1.1.01.002238</t>
  </si>
  <si>
    <t>RS FERRAGEM LTDA</t>
  </si>
  <si>
    <t>561,82</t>
  </si>
  <si>
    <t>572,32</t>
  </si>
  <si>
    <t>5,00</t>
  </si>
  <si>
    <t>15,50</t>
  </si>
  <si>
    <t>2.1.1.1.01.002241</t>
  </si>
  <si>
    <t>SUPREMA INDUSTRIA COMERCIO IMP E EXP DE PECAS LTDA</t>
  </si>
  <si>
    <t>4.800,00</t>
  </si>
  <si>
    <t>9.600,00</t>
  </si>
  <si>
    <t>2.1.1.1.01.002242</t>
  </si>
  <si>
    <t>DG ARCANJO LTDA</t>
  </si>
  <si>
    <t>4.542,30</t>
  </si>
  <si>
    <t>735,00</t>
  </si>
  <si>
    <t>2.1.1.1.01.002244</t>
  </si>
  <si>
    <t>TECH SHOP</t>
  </si>
  <si>
    <t>611,52</t>
  </si>
  <si>
    <t>2.1.1.1.01.002245</t>
  </si>
  <si>
    <t>AGF BRASIL LOGISTICA E SERVIÇOS LTDA</t>
  </si>
  <si>
    <t>36.000,00</t>
  </si>
  <si>
    <t>2.1.1.1.01.002250</t>
  </si>
  <si>
    <t>LOJA DO MECANICO - GURGELMIX MAQUINAS E FERRAMENTA</t>
  </si>
  <si>
    <t>2.386,90</t>
  </si>
  <si>
    <t>2.1.1.1.01.002251</t>
  </si>
  <si>
    <t>BERPEL EMBALAGENS LTDA</t>
  </si>
  <si>
    <t>142,50</t>
  </si>
  <si>
    <t>228,00</t>
  </si>
  <si>
    <t>85,50</t>
  </si>
  <si>
    <t>2.1.1.1.01.002254</t>
  </si>
  <si>
    <t>LINKPAR AUTOMAÇÃO</t>
  </si>
  <si>
    <t>319,41</t>
  </si>
  <si>
    <t>2.1.1.1.01.002255</t>
  </si>
  <si>
    <t>M N SOM E ACESSORIOS E-COMMERCE LTDA</t>
  </si>
  <si>
    <t>28,98</t>
  </si>
  <si>
    <t>2.1.1.1.01.002256</t>
  </si>
  <si>
    <t>GLOBAL IMPORTS LTDA</t>
  </si>
  <si>
    <t>32,62</t>
  </si>
  <si>
    <t>2.1.1.1.01.002257</t>
  </si>
  <si>
    <t>ECOBOX JAU DISTRIBUIDORA E COMERCIO LTDA</t>
  </si>
  <si>
    <t>20,73</t>
  </si>
  <si>
    <t>2.1.1.1.01.002258</t>
  </si>
  <si>
    <t>INCOMEX IND COM DE CONEXOES E SERV LTDA</t>
  </si>
  <si>
    <t>196,27</t>
  </si>
  <si>
    <t>2.1.1.1.01.002259</t>
  </si>
  <si>
    <t>THYAGO ANDRE MARTINS DE OLIVEIRA</t>
  </si>
  <si>
    <t>2.1.1.1.01.002260</t>
  </si>
  <si>
    <t>GATE COMERCIO VAREJISTA DE ELETROELETRONICOS</t>
  </si>
  <si>
    <t>138,78</t>
  </si>
  <si>
    <t>2.1.1.1.01.002263</t>
  </si>
  <si>
    <t>PAULO SERGIO SILVA EIRELI</t>
  </si>
  <si>
    <t>97,61</t>
  </si>
  <si>
    <t>2.1.1.1.01.002264</t>
  </si>
  <si>
    <t>CARGOLOG SOLUÇÕES LOGÍSTICAS LTDA</t>
  </si>
  <si>
    <t>1.008,87</t>
  </si>
  <si>
    <t>2.1.1.1.01.002265</t>
  </si>
  <si>
    <t>TOTAL STORE ELETRONICO LTDA</t>
  </si>
  <si>
    <t>19,00</t>
  </si>
  <si>
    <t>2.1.1.1.01.002266</t>
  </si>
  <si>
    <t>UNIMED LESTE PAULISTA COOPERATIVA DE TRABALHO MEDI</t>
  </si>
  <si>
    <t>18.843,83</t>
  </si>
  <si>
    <t>4.806,55</t>
  </si>
  <si>
    <t>2.1.1.1.01.002268</t>
  </si>
  <si>
    <t>GLACIANO JOSE RODRIGUES</t>
  </si>
  <si>
    <t>47,00</t>
  </si>
  <si>
    <t>2.1.1.1.01.002271</t>
  </si>
  <si>
    <t>ISRAEL FILIPI MASSARO ZUCHERATO</t>
  </si>
  <si>
    <t>23.947,88</t>
  </si>
  <si>
    <t>25.855,54</t>
  </si>
  <si>
    <t>4.037,18</t>
  </si>
  <si>
    <t>7.461,56</t>
  </si>
  <si>
    <t>5.332,04</t>
  </si>
  <si>
    <t>2.1.1.1.01.002274</t>
  </si>
  <si>
    <t>PRISCILA OLIVEIRA FRANCATTO</t>
  </si>
  <si>
    <t>164,89</t>
  </si>
  <si>
    <t>2.1.1.1.01.002275</t>
  </si>
  <si>
    <t>3J COMERCIO DE PRODUTOS PET E UTILIDADES LTDA</t>
  </si>
  <si>
    <t>95,80</t>
  </si>
  <si>
    <t>2.1.1.1.01.002279</t>
  </si>
  <si>
    <t>R2R DO RECREIO INFORMATICA LTDA</t>
  </si>
  <si>
    <t>48,99</t>
  </si>
  <si>
    <t>2.1.1.1.01.002281</t>
  </si>
  <si>
    <t>V4 COMPANY S.A.</t>
  </si>
  <si>
    <t>800,92</t>
  </si>
  <si>
    <t>3.460,37</t>
  </si>
  <si>
    <t>128,16</t>
  </si>
  <si>
    <t>2.531,29</t>
  </si>
  <si>
    <t>2.1.1.1.01.002287</t>
  </si>
  <si>
    <t>UNIMED PORTO ALEGRE - COOPERATIVA MEDICA LTDA</t>
  </si>
  <si>
    <t>10.623,14</t>
  </si>
  <si>
    <t>12.431,02</t>
  </si>
  <si>
    <t>1.807,88</t>
  </si>
  <si>
    <t>1.955,81</t>
  </si>
  <si>
    <t>2.1.1.1.01.002296</t>
  </si>
  <si>
    <t>REJ JARDINAGEM LTDA</t>
  </si>
  <si>
    <t>392,00</t>
  </si>
  <si>
    <t>396,00</t>
  </si>
  <si>
    <t>596,00</t>
  </si>
  <si>
    <t>2.1.1.1.01.002298</t>
  </si>
  <si>
    <t>V4 COMPANY - PESSOA E FREIRE LTDA</t>
  </si>
  <si>
    <t>6.536,64</t>
  </si>
  <si>
    <t>17.975,75</t>
  </si>
  <si>
    <t>1.634,16</t>
  </si>
  <si>
    <t>9.804,95</t>
  </si>
  <si>
    <t>2.1.1.1.01.002302</t>
  </si>
  <si>
    <t>TRANSPORTADORA J.D.F. LTDA</t>
  </si>
  <si>
    <t>205,93</t>
  </si>
  <si>
    <t>625,93</t>
  </si>
  <si>
    <t>204,93</t>
  </si>
  <si>
    <t>624,93</t>
  </si>
  <si>
    <t>2.1.1.1.01.002306</t>
  </si>
  <si>
    <t>MACHADO E CIA SOLUCOES ELETRICAS LTDA</t>
  </si>
  <si>
    <t>2.1.1.1.01.002307</t>
  </si>
  <si>
    <t>JUMBO COMERCIO DE MATERIAIS PARA CONSTRUCAO LTDA</t>
  </si>
  <si>
    <t>2.129,00</t>
  </si>
  <si>
    <t>2.358,00</t>
  </si>
  <si>
    <t>229,00</t>
  </si>
  <si>
    <t>2.1.1.1.01.002309</t>
  </si>
  <si>
    <t>IN VOICE E-COMMERCE LTDA</t>
  </si>
  <si>
    <t>44,62</t>
  </si>
  <si>
    <t>2.1.1.1.01.002310</t>
  </si>
  <si>
    <t>MANGFLEX - MANGUEIRAS E CORREIAS LTDA</t>
  </si>
  <si>
    <t>2.1.1.1.01.002315</t>
  </si>
  <si>
    <t>LUCAS FORTES</t>
  </si>
  <si>
    <t>850,00</t>
  </si>
  <si>
    <t>2.1.1.1.01.002316</t>
  </si>
  <si>
    <t>PJ.P COMERCIO E DISTRIBUIDORA LTDA</t>
  </si>
  <si>
    <t>78,79</t>
  </si>
  <si>
    <t>2.1.1.1.01.002317</t>
  </si>
  <si>
    <t>TECHMODER COMERCIO DE MAQUINAS LTDA.</t>
  </si>
  <si>
    <t>676,00</t>
  </si>
  <si>
    <t>2.1.1.1.01.002319</t>
  </si>
  <si>
    <t>CICAMPO MAQUINAS E FERRAMENTAS LTDA</t>
  </si>
  <si>
    <t>1.478,96</t>
  </si>
  <si>
    <t>2.1.1.1.01.002322</t>
  </si>
  <si>
    <t>JP CARGO TRANSPORTES E LOGISTICA LTDA</t>
  </si>
  <si>
    <t>1.849,31</t>
  </si>
  <si>
    <t>2.1.1.1.01.002324</t>
  </si>
  <si>
    <t>MAURO RICARDO FERREIRA COSTA NUNES</t>
  </si>
  <si>
    <t>2.1.1.1.01.002327</t>
  </si>
  <si>
    <t>BRADER LTDA</t>
  </si>
  <si>
    <t>2.1.1.1.01.002330</t>
  </si>
  <si>
    <t>REDE FURNAS COM DE COMB LTDA</t>
  </si>
  <si>
    <t>279,91</t>
  </si>
  <si>
    <t>2.1.1.1.01.002334</t>
  </si>
  <si>
    <t>MR LACRE BEM EMBALAGENS LTDA</t>
  </si>
  <si>
    <t>244,80</t>
  </si>
  <si>
    <t>2.1.1.1.01.002336</t>
  </si>
  <si>
    <t>866,67</t>
  </si>
  <si>
    <t>866,66</t>
  </si>
  <si>
    <t>2.1.1.1.01.002337</t>
  </si>
  <si>
    <t>RV MAGAZINE LTDA</t>
  </si>
  <si>
    <t>249,90</t>
  </si>
  <si>
    <t>2.1.1.1.01.002344</t>
  </si>
  <si>
    <t>CLIENT CO SERVICOS DE REDE NORDESTE S.A.</t>
  </si>
  <si>
    <t>21,50</t>
  </si>
  <si>
    <t>10,75</t>
  </si>
  <si>
    <t>32,25</t>
  </si>
  <si>
    <t>2.1.1.1.01.002345</t>
  </si>
  <si>
    <t>P. V. V. DE PAULA LTDA</t>
  </si>
  <si>
    <t>2.006,32</t>
  </si>
  <si>
    <t>10.031,60</t>
  </si>
  <si>
    <t>6.018,96</t>
  </si>
  <si>
    <t>2.1.1.1.01.002347</t>
  </si>
  <si>
    <t>LOWKING STORE LTDA</t>
  </si>
  <si>
    <t>2.1.1.1.01.002349</t>
  </si>
  <si>
    <t>J D R PEREIRA</t>
  </si>
  <si>
    <t>784,25</t>
  </si>
  <si>
    <t>2.168,22</t>
  </si>
  <si>
    <t>1.383,97</t>
  </si>
  <si>
    <t>2.1.1.1.01.002350</t>
  </si>
  <si>
    <t>GF PARTES E PECAS LTDA</t>
  </si>
  <si>
    <t>10.629,94</t>
  </si>
  <si>
    <t>14.964,04</t>
  </si>
  <si>
    <t>20.582,89</t>
  </si>
  <si>
    <t>24.336,49</t>
  </si>
  <si>
    <t>8.087,70</t>
  </si>
  <si>
    <t>2.1.1.1.01.002351</t>
  </si>
  <si>
    <t>PINHEIRO E PINHEIRO DESENVOLVIMENTO DE SISTEMAS LT</t>
  </si>
  <si>
    <t>17.840,80</t>
  </si>
  <si>
    <t>17.840,81</t>
  </si>
  <si>
    <t>2.1.1.1.01.002353</t>
  </si>
  <si>
    <t>LOCALIZA FLEET S.A.</t>
  </si>
  <si>
    <t>3.138,81</t>
  </si>
  <si>
    <t>2.478,00</t>
  </si>
  <si>
    <t>2.1.1.1.01.002355</t>
  </si>
  <si>
    <t>GOL LINHAS AEREAS S.A.</t>
  </si>
  <si>
    <t>102,32</t>
  </si>
  <si>
    <t>20,52</t>
  </si>
  <si>
    <t>122,84</t>
  </si>
  <si>
    <t>2.1.1.1.01.002356</t>
  </si>
  <si>
    <t>REDE DE POSTOS AUTO POSTO CENTER LTDA</t>
  </si>
  <si>
    <t>2.1.1.1.01.002358</t>
  </si>
  <si>
    <t>GUIPACK INDUSTRIA E COMERCIO DE EMBALAGENS E PRODU</t>
  </si>
  <si>
    <t>58,99</t>
  </si>
  <si>
    <t>2.1.1.1.01.002359</t>
  </si>
  <si>
    <t>ATK COMPONENTES ELETRICOS LTDA</t>
  </si>
  <si>
    <t>160,46</t>
  </si>
  <si>
    <t>2.1.1.1.01.002363</t>
  </si>
  <si>
    <t>ST SOLUCAO TRANSPORTES LOGISTICA LTDA</t>
  </si>
  <si>
    <t>438,00</t>
  </si>
  <si>
    <t>2.1.1.1.01.002364</t>
  </si>
  <si>
    <t>F. AGUIAR TRANSPORTES LTDA</t>
  </si>
  <si>
    <t>473,12</t>
  </si>
  <si>
    <t>2.1.1.1.01.002366</t>
  </si>
  <si>
    <t>TRM TRANSPORTE E LOGISTICA LTDA</t>
  </si>
  <si>
    <t>333,41</t>
  </si>
  <si>
    <t>2.1.1.1.01.002368</t>
  </si>
  <si>
    <t>NANNI COMERCIO DE UTILIDADES DOMESTICAS E ACESSORI</t>
  </si>
  <si>
    <t>2.1.1.1.01.002369</t>
  </si>
  <si>
    <t>LM SERVICOS - TECNOLOGIA EM SEGURANCA LTDA</t>
  </si>
  <si>
    <t>220,42</t>
  </si>
  <si>
    <t>2.1.1.1.01.002370</t>
  </si>
  <si>
    <t>LALAMOVE TECNOLOGIA  BRASIL  LTDA.</t>
  </si>
  <si>
    <t>174,23</t>
  </si>
  <si>
    <t>158,52</t>
  </si>
  <si>
    <t>2.1.1.1.01.002371</t>
  </si>
  <si>
    <t>SEM PARAR INSTITUICAO DE PAGAMENTO LTDA</t>
  </si>
  <si>
    <t>11,00</t>
  </si>
  <si>
    <t>2.1.1.1.01.002374</t>
  </si>
  <si>
    <t>L.M. RAMOS E CIA LTDA</t>
  </si>
  <si>
    <t>479,05</t>
  </si>
  <si>
    <t>2.1.1.1.01.002376</t>
  </si>
  <si>
    <t>G L TRANSPORTES LTDA</t>
  </si>
  <si>
    <t>2.1.1.1.01.002380</t>
  </si>
  <si>
    <t>SERFLEX COMERCIO E SERVICOS DE EQUIPAMENTOS INDUST</t>
  </si>
  <si>
    <t>116,34</t>
  </si>
  <si>
    <t>2.1.1.1.01.002381</t>
  </si>
  <si>
    <t>RUAN SANT ANA GUILLEN</t>
  </si>
  <si>
    <t>178,46</t>
  </si>
  <si>
    <t>2.1.1.1.01.002383</t>
  </si>
  <si>
    <t>POLLO TRANSPORTES LTDA</t>
  </si>
  <si>
    <t>3.837,69</t>
  </si>
  <si>
    <t>2.1.1.1.01.002385</t>
  </si>
  <si>
    <t>FLAVIO ROBERTO DIOGO</t>
  </si>
  <si>
    <t>2.1.1.1.01.002386</t>
  </si>
  <si>
    <t>EXD COMERCIO E IMPORTACAO LTDA</t>
  </si>
  <si>
    <t>250,99</t>
  </si>
  <si>
    <t>2.1.1.1.01.002388</t>
  </si>
  <si>
    <t>66.807.364 JOSE VICENTE NETO</t>
  </si>
  <si>
    <t>2.1.1.1.01.009999</t>
  </si>
  <si>
    <t>PROVISÃO DE DESPESA</t>
  </si>
  <si>
    <t>32.374,42</t>
  </si>
  <si>
    <t>22.374,42</t>
  </si>
  <si>
    <t>2.1.1.1.01.UNIAO</t>
  </si>
  <si>
    <t>UNIAO</t>
  </si>
  <si>
    <t>925,20</t>
  </si>
  <si>
    <t>1.104,11</t>
  </si>
  <si>
    <t>178,91</t>
  </si>
  <si>
    <t>2.1.1.1.03</t>
  </si>
  <si>
    <t>FORNECEDORES NO EXTERIOR</t>
  </si>
  <si>
    <t>755.618,78</t>
  </si>
  <si>
    <t>488.670,04</t>
  </si>
  <si>
    <t>961.938,80</t>
  </si>
  <si>
    <t>2.1.1.1.03.000103</t>
  </si>
  <si>
    <t>YUET FUNG MACHINERY EQUIPMENT (KH) CO.,</t>
  </si>
  <si>
    <t>1.861.003,98</t>
  </si>
  <si>
    <t>1.921.292,33</t>
  </si>
  <si>
    <t>76.076,11</t>
  </si>
  <si>
    <t>60.288,35</t>
  </si>
  <si>
    <t>2.1.1.1.03.000373</t>
  </si>
  <si>
    <t>SKS HYDRAULIC TECHNOLOGY CO.,LTD</t>
  </si>
  <si>
    <t>12.634.340,94</t>
  </si>
  <si>
    <t>13.802.940,14</t>
  </si>
  <si>
    <t>283.351,39</t>
  </si>
  <si>
    <t>12.990,51</t>
  </si>
  <si>
    <t>898.238,32</t>
  </si>
  <si>
    <t>2.1.1.1.03.000593</t>
  </si>
  <si>
    <t>XINGTAI ZHONGWEI ZHUOTE HYDRAULIC TECHNO</t>
  </si>
  <si>
    <t>8.096.047,11</t>
  </si>
  <si>
    <t>396.191,28</t>
  </si>
  <si>
    <t>399.603,42</t>
  </si>
  <si>
    <t>3.412,14</t>
  </si>
  <si>
    <t>2.1.1.1.03.001221</t>
  </si>
  <si>
    <t>BANJIAN PARTS CO.,LTD</t>
  </si>
  <si>
    <t>65.386,51</t>
  </si>
  <si>
    <t>65.386,50</t>
  </si>
  <si>
    <t>2.1.1.2</t>
  </si>
  <si>
    <t>EMPRESTIMOS E FINANCIMENTOS - TERCEIROS</t>
  </si>
  <si>
    <t>410.217,90</t>
  </si>
  <si>
    <t>632.729,60</t>
  </si>
  <si>
    <t>4.181.686,39</t>
  </si>
  <si>
    <t>2.1.1.2.01</t>
  </si>
  <si>
    <t>EMPRESTIMOS CAPITAL DE GIRO</t>
  </si>
  <si>
    <t>2.1.1.2.01.000002</t>
  </si>
  <si>
    <t>CONTA GARANTIDA - SANTANDER</t>
  </si>
  <si>
    <t>2.262.211,01</t>
  </si>
  <si>
    <t>2.275.231,80</t>
  </si>
  <si>
    <t>13.020,79</t>
  </si>
  <si>
    <t>2.1.1.2.01.000004</t>
  </si>
  <si>
    <t>CONTA GARANTIDA - SAFRA</t>
  </si>
  <si>
    <t>158.743,97</t>
  </si>
  <si>
    <t>158.684,27</t>
  </si>
  <si>
    <t>59,70</t>
  </si>
  <si>
    <t>2.1.1.2.01.00007</t>
  </si>
  <si>
    <t>FINIMP - ORD 14 EDT - CONTRATO 270954041</t>
  </si>
  <si>
    <t>509.311,09</t>
  </si>
  <si>
    <t>509.311,10</t>
  </si>
  <si>
    <t>2.1.1.2.01.00012</t>
  </si>
  <si>
    <t>FINIMP - ORD 14 GDK - CONTRATO 000000</t>
  </si>
  <si>
    <t>753.865,84</t>
  </si>
  <si>
    <t>753.865,85</t>
  </si>
  <si>
    <t>2.1.1.2.01.00013</t>
  </si>
  <si>
    <t>CAPITAL DE GIRO - ALEX</t>
  </si>
  <si>
    <t>2.601.476,05</t>
  </si>
  <si>
    <t>2.601.476,08</t>
  </si>
  <si>
    <t>2.1.1.2.01.00014</t>
  </si>
  <si>
    <t>FINIMP - ORD 30SKS/27EDT/05ZTM -1056422</t>
  </si>
  <si>
    <t>1.079.494,27</t>
  </si>
  <si>
    <t>1.079.494,28</t>
  </si>
  <si>
    <t>2.1.1.2.01.00019</t>
  </si>
  <si>
    <t>FINIMP 16 - ORD 41 SKS</t>
  </si>
  <si>
    <t>1.058.289,09</t>
  </si>
  <si>
    <t>1.058.289,10</t>
  </si>
  <si>
    <t>2.1.1.2.01.00020</t>
  </si>
  <si>
    <t>BANCO SANTANDER - 4131 1O CONTRATO</t>
  </si>
  <si>
    <t>1.978.557,04</t>
  </si>
  <si>
    <t>2.710.206,64</t>
  </si>
  <si>
    <t>46.422,25</t>
  </si>
  <si>
    <t>53.663,15</t>
  </si>
  <si>
    <t>738.890,50</t>
  </si>
  <si>
    <t>2.1.1.2.01.00021</t>
  </si>
  <si>
    <t>FINIMP 17 - EDT 38 , ZTM 15 , GDK 27</t>
  </si>
  <si>
    <t>742.206,57</t>
  </si>
  <si>
    <t>1.219.266,91</t>
  </si>
  <si>
    <t>125.941,96</t>
  </si>
  <si>
    <t>11.855,88</t>
  </si>
  <si>
    <t>362.974,26</t>
  </si>
  <si>
    <t>2.1.1.2.01.00022</t>
  </si>
  <si>
    <t>FINIMP 18</t>
  </si>
  <si>
    <t>584.885,31</t>
  </si>
  <si>
    <t>982.689,72</t>
  </si>
  <si>
    <t>8.645,03</t>
  </si>
  <si>
    <t>406.449,44</t>
  </si>
  <si>
    <t>2.1.1.2.01.00023</t>
  </si>
  <si>
    <t>FINIMP 19</t>
  </si>
  <si>
    <t>940.058,20</t>
  </si>
  <si>
    <t>1.443.301,46</t>
  </si>
  <si>
    <t>613,96</t>
  </si>
  <si>
    <t>503.857,22</t>
  </si>
  <si>
    <t>2.1.1.2.01.00024</t>
  </si>
  <si>
    <t>BNDES - CURTO PRAZO</t>
  </si>
  <si>
    <t>833.331,98</t>
  </si>
  <si>
    <t>1.833.333,26</t>
  </si>
  <si>
    <t>83.333,00</t>
  </si>
  <si>
    <t>83.333,33</t>
  </si>
  <si>
    <t>1.000.001,61</t>
  </si>
  <si>
    <t>2.1.1.2.01.00025</t>
  </si>
  <si>
    <t>BANCO SANTANDER -4131 2O CONTRATO</t>
  </si>
  <si>
    <t>673.953,13</t>
  </si>
  <si>
    <t>1.055.484,36</t>
  </si>
  <si>
    <t>95.953,12</t>
  </si>
  <si>
    <t>477.484,35</t>
  </si>
  <si>
    <t>2.1.1.2.01.00026</t>
  </si>
  <si>
    <t>FINIMP 20</t>
  </si>
  <si>
    <t>411.928,56</t>
  </si>
  <si>
    <t>604.183,11</t>
  </si>
  <si>
    <t>75.334,38</t>
  </si>
  <si>
    <t>267.588,93</t>
  </si>
  <si>
    <t>2.1.1.2.01.00027</t>
  </si>
  <si>
    <t>FINIMP 21</t>
  </si>
  <si>
    <t>262.668,86</t>
  </si>
  <si>
    <t>141.499,90</t>
  </si>
  <si>
    <t>303.330,75</t>
  </si>
  <si>
    <t>424.499,71</t>
  </si>
  <si>
    <t>2.1.1.4</t>
  </si>
  <si>
    <t>SALARIOS E ENCARGOS SOCIAIS</t>
  </si>
  <si>
    <t>133.490,86</t>
  </si>
  <si>
    <t>138.226,91</t>
  </si>
  <si>
    <t>74.105,87</t>
  </si>
  <si>
    <t>2.1.1.4.01</t>
  </si>
  <si>
    <t>SALARIOS</t>
  </si>
  <si>
    <t>98.307,84</t>
  </si>
  <si>
    <t>95.300,85</t>
  </si>
  <si>
    <t>1.550,20</t>
  </si>
  <si>
    <t>2.1.1.4.01.00001</t>
  </si>
  <si>
    <t>2.542.470,77</t>
  </si>
  <si>
    <t>82.806,49</t>
  </si>
  <si>
    <t>2.1.1.4.01.00002</t>
  </si>
  <si>
    <t>PRO-LABORE/HONORARIOS</t>
  </si>
  <si>
    <t>263.017,01</t>
  </si>
  <si>
    <t>264.459,70</t>
  </si>
  <si>
    <t>6.305,69</t>
  </si>
  <si>
    <t>4.863,00</t>
  </si>
  <si>
    <t>2.1.1.4.01.00004</t>
  </si>
  <si>
    <t>RESCISAO</t>
  </si>
  <si>
    <t>84.701,40</t>
  </si>
  <si>
    <t>9.195,66</t>
  </si>
  <si>
    <t>7.631,36</t>
  </si>
  <si>
    <t>1.564,30</t>
  </si>
  <si>
    <t>2.1.1.4.01.00005</t>
  </si>
  <si>
    <t>(-) ADIANTAMENTO SALARIO</t>
  </si>
  <si>
    <t>216.826,82</t>
  </si>
  <si>
    <t>216.840,92</t>
  </si>
  <si>
    <t>14,10</t>
  </si>
  <si>
    <t>2.1.1.4.02</t>
  </si>
  <si>
    <t>ENCARGOS SOCIAIS</t>
  </si>
  <si>
    <t>29.170,20</t>
  </si>
  <si>
    <t>27.991,74</t>
  </si>
  <si>
    <t>24.758,27</t>
  </si>
  <si>
    <t>2.1.1.4.02.00001</t>
  </si>
  <si>
    <t>INSS</t>
  </si>
  <si>
    <t>726.786,25</t>
  </si>
  <si>
    <t>754.866,07</t>
  </si>
  <si>
    <t>22.683,14</t>
  </si>
  <si>
    <t>21.755,01</t>
  </si>
  <si>
    <t>27.151,69</t>
  </si>
  <si>
    <t>2.1.1.4.02.00002</t>
  </si>
  <si>
    <t>FGTS</t>
  </si>
  <si>
    <t>158.976,69</t>
  </si>
  <si>
    <t>163.544,79</t>
  </si>
  <si>
    <t>6.068,28</t>
  </si>
  <si>
    <t>5.968,51</t>
  </si>
  <si>
    <t>4.468,33</t>
  </si>
  <si>
    <t>2.1.1.4.02.00003</t>
  </si>
  <si>
    <t>IRRF</t>
  </si>
  <si>
    <t>60.634,93</t>
  </si>
  <si>
    <t>53.923,74</t>
  </si>
  <si>
    <t>418,78</t>
  </si>
  <si>
    <t>268,22</t>
  </si>
  <si>
    <t>6.861,75</t>
  </si>
  <si>
    <t>2.1.1.4.99</t>
  </si>
  <si>
    <t>PROVISOES</t>
  </si>
  <si>
    <t>6.012,82</t>
  </si>
  <si>
    <t>14.934,32</t>
  </si>
  <si>
    <t>50.897,80</t>
  </si>
  <si>
    <t>2.1.1.4.99.00001</t>
  </si>
  <si>
    <t>PROVISAO DE FERIAS</t>
  </si>
  <si>
    <t>198.339,97</t>
  </si>
  <si>
    <t>225.427,11</t>
  </si>
  <si>
    <t>4.560,68</t>
  </si>
  <si>
    <t>8.599,66</t>
  </si>
  <si>
    <t>31.126,12</t>
  </si>
  <si>
    <t>2.1.1.4.99.00002</t>
  </si>
  <si>
    <t>(-) ANTECIPACOES DE FERIAS</t>
  </si>
  <si>
    <t>114.590,82</t>
  </si>
  <si>
    <t>111.137,55</t>
  </si>
  <si>
    <t>3.453,27</t>
  </si>
  <si>
    <t>2.1.1.4.99.00003</t>
  </si>
  <si>
    <t>PROVISAO 13O. SALARIO</t>
  </si>
  <si>
    <t>150.253,49</t>
  </si>
  <si>
    <t>168.595,92</t>
  </si>
  <si>
    <t>1.452,14</t>
  </si>
  <si>
    <t>6.334,66</t>
  </si>
  <si>
    <t>23.224,95</t>
  </si>
  <si>
    <t>2.1.1.5</t>
  </si>
  <si>
    <t>IMPOSTOS E CONTRIBUICOES</t>
  </si>
  <si>
    <t>354.145,47</t>
  </si>
  <si>
    <t>322.208,65</t>
  </si>
  <si>
    <t>81.279,84</t>
  </si>
  <si>
    <t>2.1.1.5.01</t>
  </si>
  <si>
    <t>IMPOSTOS</t>
  </si>
  <si>
    <t>276.474,24</t>
  </si>
  <si>
    <t>256.860,87</t>
  </si>
  <si>
    <t>17.327,83</t>
  </si>
  <si>
    <t>2.1.1.5.01.00001</t>
  </si>
  <si>
    <t>1.546.894,06</t>
  </si>
  <si>
    <t>1.556.094,92</t>
  </si>
  <si>
    <t>22.445,35</t>
  </si>
  <si>
    <t>22.690,73</t>
  </si>
  <si>
    <t>9.446,24</t>
  </si>
  <si>
    <t>2.1.1.5.01.00002</t>
  </si>
  <si>
    <t>17.068.508,67</t>
  </si>
  <si>
    <t>17.085.820,90</t>
  </si>
  <si>
    <t>241.909,32</t>
  </si>
  <si>
    <t>224.738,02</t>
  </si>
  <si>
    <t>140,93</t>
  </si>
  <si>
    <t>2.1.1.5.01.00003</t>
  </si>
  <si>
    <t>IRRF TERCEIROS</t>
  </si>
  <si>
    <t>24.676,79</t>
  </si>
  <si>
    <t>25.096,38</t>
  </si>
  <si>
    <t>147,90</t>
  </si>
  <si>
    <t>110,03</t>
  </si>
  <si>
    <t>381,72</t>
  </si>
  <si>
    <t>2.1.1.5.01.00004</t>
  </si>
  <si>
    <t>ISSQN S/ RECEITA</t>
  </si>
  <si>
    <t>36.122,53</t>
  </si>
  <si>
    <t>36.923,85</t>
  </si>
  <si>
    <t>801,32</t>
  </si>
  <si>
    <t>934,27</t>
  </si>
  <si>
    <t>2.1.1.5.01.00005</t>
  </si>
  <si>
    <t>ISSQN TERCEIROS</t>
  </si>
  <si>
    <t>11.554,31</t>
  </si>
  <si>
    <t>11.878,65</t>
  </si>
  <si>
    <t>327,50</t>
  </si>
  <si>
    <t>261,28</t>
  </si>
  <si>
    <t>258,12</t>
  </si>
  <si>
    <t>2.1.1.5.01.00006</t>
  </si>
  <si>
    <t>ICMS ST RECOLHER</t>
  </si>
  <si>
    <t>1.412.450,50</t>
  </si>
  <si>
    <t>1.419.282,03</t>
  </si>
  <si>
    <t>7.357,72</t>
  </si>
  <si>
    <t>6.326,76</t>
  </si>
  <si>
    <t>5.800,57</t>
  </si>
  <si>
    <t>2.1.1.5.01.00009</t>
  </si>
  <si>
    <t>ICMS DESTINO</t>
  </si>
  <si>
    <t>1.032.930,83</t>
  </si>
  <si>
    <t>1.034.982,16</t>
  </si>
  <si>
    <t>3.485,13</t>
  </si>
  <si>
    <t>1.799,78</t>
  </si>
  <si>
    <t>365,98</t>
  </si>
  <si>
    <t>2.1.1.5.02</t>
  </si>
  <si>
    <t>CONTRIBUICOES</t>
  </si>
  <si>
    <t>77.671,23</t>
  </si>
  <si>
    <t>65.347,78</t>
  </si>
  <si>
    <t>63.952,01</t>
  </si>
  <si>
    <t>2.1.1.5.02.00001</t>
  </si>
  <si>
    <t>COFINS S/ RECEITA</t>
  </si>
  <si>
    <t>3.200.452,48</t>
  </si>
  <si>
    <t>3.260.858,25</t>
  </si>
  <si>
    <t>62.735,59</t>
  </si>
  <si>
    <t>53.211,74</t>
  </si>
  <si>
    <t>50.881,92</t>
  </si>
  <si>
    <t>2.1.1.5.02.00002</t>
  </si>
  <si>
    <t>PIS S/ RECEITA</t>
  </si>
  <si>
    <t>690.559,36</t>
  </si>
  <si>
    <t>703.603,19</t>
  </si>
  <si>
    <t>13.548,87</t>
  </si>
  <si>
    <t>11.491,89</t>
  </si>
  <si>
    <t>10.986,85</t>
  </si>
  <si>
    <t>2.1.1.5.02.00003</t>
  </si>
  <si>
    <t>INSS TERCEIROS</t>
  </si>
  <si>
    <t>3.158,79</t>
  </si>
  <si>
    <t>4.597,88</t>
  </si>
  <si>
    <t>174,98</t>
  </si>
  <si>
    <t>1.614,07</t>
  </si>
  <si>
    <t>2.1.1.5.02.00004</t>
  </si>
  <si>
    <t>CONTRIBUICOES DE TERC. (PIS/COFINS/CSLL)</t>
  </si>
  <si>
    <t>63.517,85</t>
  </si>
  <si>
    <t>64.904,62</t>
  </si>
  <si>
    <t>1.386,77</t>
  </si>
  <si>
    <t>469,17</t>
  </si>
  <si>
    <t>2.1.1.6</t>
  </si>
  <si>
    <t>PROVISAO DO IMPOSTO DE RENDA E CSSLL</t>
  </si>
  <si>
    <t>2.988,94</t>
  </si>
  <si>
    <t>59.129,58</t>
  </si>
  <si>
    <t>200.972,10</t>
  </si>
  <si>
    <t>2.1.1.6.01</t>
  </si>
  <si>
    <t>PROVISAO DO IMPOSTO DE RENDA</t>
  </si>
  <si>
    <t>38.672,65</t>
  </si>
  <si>
    <t>130.137,38</t>
  </si>
  <si>
    <t>2.1.1.6.01.00001</t>
  </si>
  <si>
    <t>IMPOSTO DE RENDA</t>
  </si>
  <si>
    <t>1.997.838,64</t>
  </si>
  <si>
    <t>2.092.292,31</t>
  </si>
  <si>
    <t>2.1.1.6.02</t>
  </si>
  <si>
    <t>CONTRIBUICAO SOCIAL S/LUCRO LIQUIDO</t>
  </si>
  <si>
    <t>20.456,93</t>
  </si>
  <si>
    <t>70.834,72</t>
  </si>
  <si>
    <t>2.1.1.6.02.00001</t>
  </si>
  <si>
    <t>CONTRIBUICAO SOCIAL CSLL</t>
  </si>
  <si>
    <t>1.145.041,29</t>
  </si>
  <si>
    <t>1.195.419,08</t>
  </si>
  <si>
    <t>2.1.1.7</t>
  </si>
  <si>
    <t>DIVIDENDOS E JUROS CAPITAL PROPRIO</t>
  </si>
  <si>
    <t>153.628,85</t>
  </si>
  <si>
    <t>99.927,84</t>
  </si>
  <si>
    <t>214.803,92</t>
  </si>
  <si>
    <t>2.1.1.7.01</t>
  </si>
  <si>
    <t>DIVIDENDOS</t>
  </si>
  <si>
    <t>2.1.1.7.01.00001</t>
  </si>
  <si>
    <t>ALEX BERTOLDO PACHECO</t>
  </si>
  <si>
    <t>1.714.082,60</t>
  </si>
  <si>
    <t>1.727.507,85</t>
  </si>
  <si>
    <t>38.585,10</t>
  </si>
  <si>
    <t>35.900,05</t>
  </si>
  <si>
    <t>10.740,20</t>
  </si>
  <si>
    <t>2.1.1.7.01.00002</t>
  </si>
  <si>
    <t>999.748,48</t>
  </si>
  <si>
    <t>1.011.831,17</t>
  </si>
  <si>
    <t>40.560,07</t>
  </si>
  <si>
    <t>38.143,52</t>
  </si>
  <si>
    <t>9.666,14</t>
  </si>
  <si>
    <t>2.1.1.7.01.00003</t>
  </si>
  <si>
    <t>CARLOS EDUARDO S CANABARRO FILHO</t>
  </si>
  <si>
    <t>1.393.677,65</t>
  </si>
  <si>
    <t>1.407.102,90</t>
  </si>
  <si>
    <t>28.569,32</t>
  </si>
  <si>
    <t>25.884,27</t>
  </si>
  <si>
    <t>2.1.1.7.01.00005</t>
  </si>
  <si>
    <t>FORMAC</t>
  </si>
  <si>
    <t>398.061,53</t>
  </si>
  <si>
    <t>627.633,27</t>
  </si>
  <si>
    <t>45.914,36</t>
  </si>
  <si>
    <t>183.657,38</t>
  </si>
  <si>
    <t>2.1.1.8</t>
  </si>
  <si>
    <t>ADIANTAMENTO CLIENTES</t>
  </si>
  <si>
    <t>352.311,09</t>
  </si>
  <si>
    <t>164.253,06</t>
  </si>
  <si>
    <t>720.965,18</t>
  </si>
  <si>
    <t>2.1.1.8.01</t>
  </si>
  <si>
    <t>2.1.1.8.01.00001</t>
  </si>
  <si>
    <t>ADIANTAMENTO DE CLIENTES</t>
  </si>
  <si>
    <t>12.664.505,81</t>
  </si>
  <si>
    <t>13.460.171,39</t>
  </si>
  <si>
    <t>323.545,02</t>
  </si>
  <si>
    <t>155.253,06</t>
  </si>
  <si>
    <t>627.373,62</t>
  </si>
  <si>
    <t>2.1.1.8.01.00003</t>
  </si>
  <si>
    <t>CLIENTES-VENDAS P/ ENTREGA FUTURA</t>
  </si>
  <si>
    <t>760.446,69</t>
  </si>
  <si>
    <t>873.804,32</t>
  </si>
  <si>
    <t>93.591,56</t>
  </si>
  <si>
    <t>2.3</t>
  </si>
  <si>
    <t>307.900,73</t>
  </si>
  <si>
    <t>1.098.983,32</t>
  </si>
  <si>
    <t>2.3.1</t>
  </si>
  <si>
    <t>EMPRESTIMOS DE TERCEIROS</t>
  </si>
  <si>
    <t>2.3.1.1</t>
  </si>
  <si>
    <t>2.3.1.1.01</t>
  </si>
  <si>
    <t>EMPRESTIMOS - CAPITAL DE GIRO</t>
  </si>
  <si>
    <t>2.3.1.1.01.00001</t>
  </si>
  <si>
    <t>BNDES - LONGO PRAZO</t>
  </si>
  <si>
    <t>1.874.935,26</t>
  </si>
  <si>
    <t>2.041.602,00</t>
  </si>
  <si>
    <t>83.333,41</t>
  </si>
  <si>
    <t>2.3.1.1.01.00002</t>
  </si>
  <si>
    <t>BANCO SANTANDER 4131 1O CONTRATO LONGO PRAZO</t>
  </si>
  <si>
    <t>912.273,55</t>
  </si>
  <si>
    <t>1.234.253,50</t>
  </si>
  <si>
    <t>268.316,80</t>
  </si>
  <si>
    <t>2.3.1.1.01.00007</t>
  </si>
  <si>
    <t>BANCO SANTANDER 4131 2O CONTRATO LONGO PRAZO</t>
  </si>
  <si>
    <t>287.859,36</t>
  </si>
  <si>
    <t>479.765,62</t>
  </si>
  <si>
    <t>95.953,14</t>
  </si>
  <si>
    <t>2.3.1.1.01.00008</t>
  </si>
  <si>
    <t>FINIMP 19 LONGO PRAZO</t>
  </si>
  <si>
    <t>285.026,62</t>
  </si>
  <si>
    <t>570.053,27</t>
  </si>
  <si>
    <t>285.026,65</t>
  </si>
  <si>
    <t>2.3.1.1.01.00009</t>
  </si>
  <si>
    <t>FINIMP 20 LONGO PRAZO</t>
  </si>
  <si>
    <t>299.804,55</t>
  </si>
  <si>
    <t>74.951,13</t>
  </si>
  <si>
    <t>224.853,42</t>
  </si>
  <si>
    <t>2.3.1.1.01.00010</t>
  </si>
  <si>
    <t>FINIMP 21 LONGO PRAZO</t>
  </si>
  <si>
    <t>2.9</t>
  </si>
  <si>
    <t>PATRIMONIO LIQUIDO</t>
  </si>
  <si>
    <t>4.707.101,74</t>
  </si>
  <si>
    <t>2.9.1</t>
  </si>
  <si>
    <t>CAPITAL SOCIAL</t>
  </si>
  <si>
    <t>5.000.000,00</t>
  </si>
  <si>
    <t>2.9.1.1</t>
  </si>
  <si>
    <t>CAPITAL  INTEGRALIZADO</t>
  </si>
  <si>
    <t>2.9.1.1.01</t>
  </si>
  <si>
    <t>CAPITAL SUBSCRITO</t>
  </si>
  <si>
    <t>2.9.1.1.01.00001</t>
  </si>
  <si>
    <t>2.9.8</t>
  </si>
  <si>
    <t>RESULTADO ACUMULADO</t>
  </si>
  <si>
    <t>99.754,30</t>
  </si>
  <si>
    <t>2.9.8.1</t>
  </si>
  <si>
    <t>2.9.8.1.01</t>
  </si>
  <si>
    <t>RESULTADO  ACUMULADO ANOS ANTERIORES</t>
  </si>
  <si>
    <t>2.9.8.1.01.00002</t>
  </si>
  <si>
    <t>LUCROS ACUMULADOS</t>
  </si>
  <si>
    <t>8.791.496,56</t>
  </si>
  <si>
    <t>8.908.369,48</t>
  </si>
  <si>
    <t>116.872,92</t>
  </si>
  <si>
    <t>2.9.8.1.01.00004</t>
  </si>
  <si>
    <t>AJUSTES DE EXERCICIOS ANTERIORES</t>
  </si>
  <si>
    <t>362.210,25</t>
  </si>
  <si>
    <t>345.091,63</t>
  </si>
  <si>
    <t>17.118,62</t>
  </si>
  <si>
    <t>2.9.9</t>
  </si>
  <si>
    <t>RESULTADO DO EXERCICIO</t>
  </si>
  <si>
    <t>392.652,56</t>
  </si>
  <si>
    <t>2.9.9.1</t>
  </si>
  <si>
    <t>2.9.9.1.01</t>
  </si>
  <si>
    <t>2.9.9.1.01.00002</t>
  </si>
  <si>
    <t>( - ) DIVIDENDOS</t>
  </si>
  <si>
    <t>4.050.971,85</t>
  </si>
  <si>
    <t>3.758.247,13</t>
  </si>
  <si>
    <t>3</t>
  </si>
  <si>
    <t>RECEITAS</t>
  </si>
  <si>
    <t>310.308,38</t>
  </si>
  <si>
    <t>1.724.446,15</t>
  </si>
  <si>
    <t>12.673.181,92</t>
  </si>
  <si>
    <t>3.1</t>
  </si>
  <si>
    <t>3.1.1</t>
  </si>
  <si>
    <t>RECEITA OPERACIONAL LIQUIDA</t>
  </si>
  <si>
    <t>3.1.1.1</t>
  </si>
  <si>
    <t>RECEITA OPERACIONAL BRUTA</t>
  </si>
  <si>
    <t>1.713.918,54</t>
  </si>
  <si>
    <t>15.543.969,62</t>
  </si>
  <si>
    <t>3.1.1.1.01</t>
  </si>
  <si>
    <t>3.1.1.1.01.00001</t>
  </si>
  <si>
    <t>VENDA DE MERCADORIAS</t>
  </si>
  <si>
    <t>5.972.305,19</t>
  </si>
  <si>
    <t>6.190.196,89</t>
  </si>
  <si>
    <t>22.333,44</t>
  </si>
  <si>
    <t>240.225,14</t>
  </si>
  <si>
    <t>3.1.1.1.01.00002</t>
  </si>
  <si>
    <t>REVENDA DE MERCADORIAS</t>
  </si>
  <si>
    <t>81.968.327,67</t>
  </si>
  <si>
    <t>95.433.958,37</t>
  </si>
  <si>
    <t>1.672.899,79</t>
  </si>
  <si>
    <t>15.138.530,49</t>
  </si>
  <si>
    <t>3.1.1.1.01.00003</t>
  </si>
  <si>
    <t>SERVICOS</t>
  </si>
  <si>
    <t>600.940,59</t>
  </si>
  <si>
    <t>747.469,27</t>
  </si>
  <si>
    <t>18.685,31</t>
  </si>
  <si>
    <t>165.213,99</t>
  </si>
  <si>
    <t>3.1.1.2</t>
  </si>
  <si>
    <t>DEDUCOES DE VENDA</t>
  </si>
  <si>
    <t>10.527,61</t>
  </si>
  <si>
    <t>2.870.787,70</t>
  </si>
  <si>
    <t>3.1.1.2.01</t>
  </si>
  <si>
    <t>IMPOSTOS SOBRE VENDAS</t>
  </si>
  <si>
    <t>212.510,40</t>
  </si>
  <si>
    <t>2.029.576,11</t>
  </si>
  <si>
    <t>3.1.1.2.01.00002</t>
  </si>
  <si>
    <t>10.189.967,02</t>
  </si>
  <si>
    <t>9.069.944,81</t>
  </si>
  <si>
    <t>124.402,40</t>
  </si>
  <si>
    <t>1.244.424,61</t>
  </si>
  <si>
    <t>3.1.1.2.01.00003</t>
  </si>
  <si>
    <t>ISSQN</t>
  </si>
  <si>
    <t>36.588,98</t>
  </si>
  <si>
    <t>29.480,84</t>
  </si>
  <si>
    <t>8.042,41</t>
  </si>
  <si>
    <t>3.1.1.2.01.00004</t>
  </si>
  <si>
    <t>3.353.420,79</t>
  </si>
  <si>
    <t>2.911.204,06</t>
  </si>
  <si>
    <t>495.428,47</t>
  </si>
  <si>
    <t>3.1.1.2.01.00005</t>
  </si>
  <si>
    <t>723.571,56</t>
  </si>
  <si>
    <t>628.105,33</t>
  </si>
  <si>
    <t>106.958,12</t>
  </si>
  <si>
    <t>3.1.1.2.01.00006</t>
  </si>
  <si>
    <t>1.014.848,12</t>
  </si>
  <si>
    <t>898.716,60</t>
  </si>
  <si>
    <t>16.143,34</t>
  </si>
  <si>
    <t>132.274,86</t>
  </si>
  <si>
    <t>3.1.1.2.01.00007</t>
  </si>
  <si>
    <t>1.344.882,73</t>
  </si>
  <si>
    <t>1.308.761,85</t>
  </si>
  <si>
    <t>42.447,64</t>
  </si>
  <si>
    <t>3.1.1.2.02</t>
  </si>
  <si>
    <t>DEVOLUCOES</t>
  </si>
  <si>
    <t>97.797,98</t>
  </si>
  <si>
    <t>841.211,59</t>
  </si>
  <si>
    <t>3.1.1.2.02.00001</t>
  </si>
  <si>
    <t>DEVOLUCOES - TERCEIROS</t>
  </si>
  <si>
    <t>4.848.537,03</t>
  </si>
  <si>
    <t>3.990.675,69</t>
  </si>
  <si>
    <t>955.659,32</t>
  </si>
  <si>
    <t>3.1.1.2.02.00002</t>
  </si>
  <si>
    <t>(-) IPI S/ DEVOLUCAO</t>
  </si>
  <si>
    <t>19.366,06</t>
  </si>
  <si>
    <t>22.210,80</t>
  </si>
  <si>
    <t>559,12</t>
  </si>
  <si>
    <t>3.403,86</t>
  </si>
  <si>
    <t>3.1.1.2.02.00003</t>
  </si>
  <si>
    <t>(-) ICMS S/ DEVOLUCAO</t>
  </si>
  <si>
    <t>318.105,40</t>
  </si>
  <si>
    <t>382.125,60</t>
  </si>
  <si>
    <t>6.179,16</t>
  </si>
  <si>
    <t>70.199,36</t>
  </si>
  <si>
    <t>3.1.1.2.02.00004</t>
  </si>
  <si>
    <t>(-) ICMS ST S/ DEVOLUCAO</t>
  </si>
  <si>
    <t>21.738,65</t>
  </si>
  <si>
    <t>22.925,71</t>
  </si>
  <si>
    <t>1.187,06</t>
  </si>
  <si>
    <t>3.1.1.2.02.00005</t>
  </si>
  <si>
    <t>(-) COFINS S/ DEVOLUCAO</t>
  </si>
  <si>
    <t>139.833,86</t>
  </si>
  <si>
    <t>169.339,30</t>
  </si>
  <si>
    <t>32.621,59</t>
  </si>
  <si>
    <t>3.1.1.2.02.00006</t>
  </si>
  <si>
    <t>(-) PIS S/ DEVOLUCAO</t>
  </si>
  <si>
    <t>30.135,65</t>
  </si>
  <si>
    <t>36.498,33</t>
  </si>
  <si>
    <t>7.035,86</t>
  </si>
  <si>
    <t>4</t>
  </si>
  <si>
    <t>CUSTOS E DESPESAS</t>
  </si>
  <si>
    <t>1.549.167,29</t>
  </si>
  <si>
    <t>167.149,97</t>
  </si>
  <si>
    <t>11.039.606,24</t>
  </si>
  <si>
    <t>4.1</t>
  </si>
  <si>
    <t>CUSTOS</t>
  </si>
  <si>
    <t>1.165.437,83</t>
  </si>
  <si>
    <t>124.926,09</t>
  </si>
  <si>
    <t>8.631.766,66</t>
  </si>
  <si>
    <t>4.1.1</t>
  </si>
  <si>
    <t>4.1.1.1</t>
  </si>
  <si>
    <t>CUSTOS COMERCIALIZACAO</t>
  </si>
  <si>
    <t>1.165.373,83</t>
  </si>
  <si>
    <t>8.630.231,65</t>
  </si>
  <si>
    <t>4.1.1.1.01</t>
  </si>
  <si>
    <t>MAO DE OBRA</t>
  </si>
  <si>
    <t>95.799,83</t>
  </si>
  <si>
    <t>510,05</t>
  </si>
  <si>
    <t>559.195,48</t>
  </si>
  <si>
    <t>4.1.1.1.01.00001</t>
  </si>
  <si>
    <t>PRO-LABORE</t>
  </si>
  <si>
    <t>64.947,67</t>
  </si>
  <si>
    <t>52.288,67</t>
  </si>
  <si>
    <t>1.621,00</t>
  </si>
  <si>
    <t>14.280,00</t>
  </si>
  <si>
    <t>4.1.1.1.01.00003</t>
  </si>
  <si>
    <t>SALARIOS E ORDENADOS</t>
  </si>
  <si>
    <t>558.124,42</t>
  </si>
  <si>
    <t>307.235,80</t>
  </si>
  <si>
    <t>63.017,25</t>
  </si>
  <si>
    <t>313.395,82</t>
  </si>
  <si>
    <t>4.1.1.1.01.00004</t>
  </si>
  <si>
    <t>FERIAS</t>
  </si>
  <si>
    <t>40.749,74</t>
  </si>
  <si>
    <t>37.225,94</t>
  </si>
  <si>
    <t>3.523,80</t>
  </si>
  <si>
    <t>4.1.1.1.01.00005</t>
  </si>
  <si>
    <t>13O. SALARIO</t>
  </si>
  <si>
    <t>12.118,58</t>
  </si>
  <si>
    <t>11.565,98</t>
  </si>
  <si>
    <t>552,60</t>
  </si>
  <si>
    <t>4.1.1.1.01.00008</t>
  </si>
  <si>
    <t>179.758,19</t>
  </si>
  <si>
    <t>97.981,96</t>
  </si>
  <si>
    <t>10.420,31</t>
  </si>
  <si>
    <t>92.196,54</t>
  </si>
  <si>
    <t>4.1.1.1.01.00009</t>
  </si>
  <si>
    <t>59.627,36</t>
  </si>
  <si>
    <t>33.579,56</t>
  </si>
  <si>
    <t>3.013,77</t>
  </si>
  <si>
    <t>29.061,57</t>
  </si>
  <si>
    <t>4.1.1.1.01.00010</t>
  </si>
  <si>
    <t>TRANSPORTE/VALE TRANSPORTE</t>
  </si>
  <si>
    <t>117.004,55</t>
  </si>
  <si>
    <t>71.298,60</t>
  </si>
  <si>
    <t>7.164,60</t>
  </si>
  <si>
    <t>52.870,55</t>
  </si>
  <si>
    <t>4.1.1.1.01.00097</t>
  </si>
  <si>
    <t>PROVISAO/REVERSAO FERIAS</t>
  </si>
  <si>
    <t>67.236,23</t>
  </si>
  <si>
    <t>46.855,05</t>
  </si>
  <si>
    <t>6.090,48</t>
  </si>
  <si>
    <t>26.471,66</t>
  </si>
  <si>
    <t>4.1.1.1.01.00098</t>
  </si>
  <si>
    <t>PROVISAO/REVERSAO 13O. SALARIO</t>
  </si>
  <si>
    <t>55.596,72</t>
  </si>
  <si>
    <t>33.226,20</t>
  </si>
  <si>
    <t>4.472,42</t>
  </si>
  <si>
    <t>26.842,94</t>
  </si>
  <si>
    <t>4.1.1.1.04</t>
  </si>
  <si>
    <t>DESPESAS DE VIAGENS</t>
  </si>
  <si>
    <t>4.151,70</t>
  </si>
  <si>
    <t>40.043,20</t>
  </si>
  <si>
    <t>4.1.1.1.04.00001</t>
  </si>
  <si>
    <t>ALUGUEL VEICULOS</t>
  </si>
  <si>
    <t>95.125,92</t>
  </si>
  <si>
    <t>66.692,23</t>
  </si>
  <si>
    <t>30.911,69</t>
  </si>
  <si>
    <t>4.1.1.1.04.00002</t>
  </si>
  <si>
    <t>COMBUSTIVEL E LUBRIFICANTES</t>
  </si>
  <si>
    <t>3.769,66</t>
  </si>
  <si>
    <t>3.419,66</t>
  </si>
  <si>
    <t>4.1.1.1.04.00003</t>
  </si>
  <si>
    <t>ESTADIAS E REFEICOES</t>
  </si>
  <si>
    <t>68.840,42</t>
  </si>
  <si>
    <t>63.340,82</t>
  </si>
  <si>
    <t>1.673,70</t>
  </si>
  <si>
    <t>7.173,30</t>
  </si>
  <si>
    <t>4.1.1.1.04.00004</t>
  </si>
  <si>
    <t>PASSAGENS AEREA</t>
  </si>
  <si>
    <t>17.683,16</t>
  </si>
  <si>
    <t>16.074,95</t>
  </si>
  <si>
    <t>1.608,21</t>
  </si>
  <si>
    <t>4.1.1.1.05</t>
  </si>
  <si>
    <t>DESPESAS COM VEICULOS</t>
  </si>
  <si>
    <t>74,19</t>
  </si>
  <si>
    <t>4.1.1.1.05.00005</t>
  </si>
  <si>
    <t>MULTA TRANSITO</t>
  </si>
  <si>
    <t>2.256,91</t>
  </si>
  <si>
    <t>2.182,72</t>
  </si>
  <si>
    <t>4.1.1.1.07</t>
  </si>
  <si>
    <t>OUTROS GASTOS GERAIS</t>
  </si>
  <si>
    <t>34.574,87</t>
  </si>
  <si>
    <t>145,10</t>
  </si>
  <si>
    <t>371.957,94</t>
  </si>
  <si>
    <t>4.1.1.1.07.00001</t>
  </si>
  <si>
    <t>ALUGUEL BENS MOVEIS</t>
  </si>
  <si>
    <t>74.000,16</t>
  </si>
  <si>
    <t>59.115,74</t>
  </si>
  <si>
    <t>660,96</t>
  </si>
  <si>
    <t>15.545,38</t>
  </si>
  <si>
    <t>4.1.1.1.07.00002</t>
  </si>
  <si>
    <t>FRETES</t>
  </si>
  <si>
    <t>467.073,29</t>
  </si>
  <si>
    <t>406.193,08</t>
  </si>
  <si>
    <t>3.715,44</t>
  </si>
  <si>
    <t>64.595,65</t>
  </si>
  <si>
    <t>4.1.1.1.07.00004</t>
  </si>
  <si>
    <t>LIMPEZA E CONSERVACAO</t>
  </si>
  <si>
    <t>1.425,20</t>
  </si>
  <si>
    <t>1.075,20</t>
  </si>
  <si>
    <t>4.1.1.1.07.00007</t>
  </si>
  <si>
    <t>MATERIAL DE USO E CONSUMO</t>
  </si>
  <si>
    <t>435.618,84</t>
  </si>
  <si>
    <t>385.142,39</t>
  </si>
  <si>
    <t>6.202,99</t>
  </si>
  <si>
    <t>56.534,34</t>
  </si>
  <si>
    <t>4.1.1.1.07.00009</t>
  </si>
  <si>
    <t>OUTROS SERVICOS TERCEIROS</t>
  </si>
  <si>
    <t>1.205.598,38</t>
  </si>
  <si>
    <t>1.006.564,14</t>
  </si>
  <si>
    <t>23.650,00</t>
  </si>
  <si>
    <t>222.684,24</t>
  </si>
  <si>
    <t>4.1.1.1.07.00010</t>
  </si>
  <si>
    <t>BONIFICACAO</t>
  </si>
  <si>
    <t>11.902,85</t>
  </si>
  <si>
    <t>345,48</t>
  </si>
  <si>
    <t>12.248,33</t>
  </si>
  <si>
    <t>4.1.1.1.13</t>
  </si>
  <si>
    <t>PRODUTOS ACABADOS</t>
  </si>
  <si>
    <t>8.564,26</t>
  </si>
  <si>
    <t>81.111,86</t>
  </si>
  <si>
    <t>4.1.1.1.13.00090</t>
  </si>
  <si>
    <t>CUSTO PRODUTO VENDIDO</t>
  </si>
  <si>
    <t>496.266,77</t>
  </si>
  <si>
    <t>423.719,17</t>
  </si>
  <si>
    <t>4.1.1.1.20</t>
  </si>
  <si>
    <t>CUSTO MERCADORIAS REVENDIDAS</t>
  </si>
  <si>
    <t>1.022.283,17</t>
  </si>
  <si>
    <t>124.270,94</t>
  </si>
  <si>
    <t>7.577.848,98</t>
  </si>
  <si>
    <t>4.1.1.1.20.00100</t>
  </si>
  <si>
    <t>CUSTO MERCADORIA REVENDIDA</t>
  </si>
  <si>
    <t>75.159.395,46</t>
  </si>
  <si>
    <t>68.479.558,71</t>
  </si>
  <si>
    <t>4.1.1.2</t>
  </si>
  <si>
    <t>CUSTO DA PRESTACAO DE SERVICOS</t>
  </si>
  <si>
    <t>1.535,01</t>
  </si>
  <si>
    <t>4.1.1.2.05</t>
  </si>
  <si>
    <t>114,54</t>
  </si>
  <si>
    <t>4.1.1.2.05.00005</t>
  </si>
  <si>
    <t>4.1.1.2.07</t>
  </si>
  <si>
    <t>GASTOS GERAIS</t>
  </si>
  <si>
    <t>1.420,47</t>
  </si>
  <si>
    <t>4.1.1.2.07.00002</t>
  </si>
  <si>
    <t>COMBUSTIVEL E LUBRIFICANTES - MAQUINAS</t>
  </si>
  <si>
    <t>1.762,01</t>
  </si>
  <si>
    <t>4.1.1.2.07.00003</t>
  </si>
  <si>
    <t>13.178,88</t>
  </si>
  <si>
    <t>12.814,90</t>
  </si>
  <si>
    <t>363,98</t>
  </si>
  <si>
    <t>4.1.1.2.07.00005</t>
  </si>
  <si>
    <t>4.1.1.2.07.00008</t>
  </si>
  <si>
    <t>262.219,45</t>
  </si>
  <si>
    <t>259.061,96</t>
  </si>
  <si>
    <t>3.157,49</t>
  </si>
  <si>
    <t>4.1.1.2.07.00009</t>
  </si>
  <si>
    <t>228.238,93</t>
  </si>
  <si>
    <t>230.803,93</t>
  </si>
  <si>
    <t>2.565,00</t>
  </si>
  <si>
    <t>4.2</t>
  </si>
  <si>
    <t>DESPESAS OPERACIONAIS</t>
  </si>
  <si>
    <t>274.974,61</t>
  </si>
  <si>
    <t>2.817,50</t>
  </si>
  <si>
    <t>2.259.475,51</t>
  </si>
  <si>
    <t>4.2.1</t>
  </si>
  <si>
    <t>4.2.1.1</t>
  </si>
  <si>
    <t>DESPESAS COM VENDAS</t>
  </si>
  <si>
    <t>146.897,11</t>
  </si>
  <si>
    <t>2.782,50</t>
  </si>
  <si>
    <t>1.340.798,29</t>
  </si>
  <si>
    <t>4.2.1.1.01</t>
  </si>
  <si>
    <t>DESPESAS COM PESSOAL</t>
  </si>
  <si>
    <t>18.642,61</t>
  </si>
  <si>
    <t>161.048,13</t>
  </si>
  <si>
    <t>4.2.1.1.01.00001</t>
  </si>
  <si>
    <t>182.027,39</t>
  </si>
  <si>
    <t>169.368,39</t>
  </si>
  <si>
    <t>4.2.1.1.01.00003</t>
  </si>
  <si>
    <t>400.218,53</t>
  </si>
  <si>
    <t>331.892,27</t>
  </si>
  <si>
    <t>13.730,74</t>
  </si>
  <si>
    <t>79.274,50</t>
  </si>
  <si>
    <t>4.2.1.1.01.00004</t>
  </si>
  <si>
    <t>8.360,47</t>
  </si>
  <si>
    <t>2.978,98</t>
  </si>
  <si>
    <t>5.381,49</t>
  </si>
  <si>
    <t>4.2.1.1.01.00005</t>
  </si>
  <si>
    <t>9.310,87</t>
  </si>
  <si>
    <t>9.048,37</t>
  </si>
  <si>
    <t>262,50</t>
  </si>
  <si>
    <t>4.2.1.1.01.00008</t>
  </si>
  <si>
    <t>185.993,43</t>
  </si>
  <si>
    <t>165.758,10</t>
  </si>
  <si>
    <t>1.570,79</t>
  </si>
  <si>
    <t>21.806,12</t>
  </si>
  <si>
    <t>4.2.1.1.01.00009</t>
  </si>
  <si>
    <t>44.680,97</t>
  </si>
  <si>
    <t>39.396,35</t>
  </si>
  <si>
    <t>372,12</t>
  </si>
  <si>
    <t>5.656,74</t>
  </si>
  <si>
    <t>4.2.1.1.01.00010</t>
  </si>
  <si>
    <t>96.946,04</t>
  </si>
  <si>
    <t>79.207,62</t>
  </si>
  <si>
    <t>616,00</t>
  </si>
  <si>
    <t>18.354,42</t>
  </si>
  <si>
    <t>4.2.1.1.01.00097</t>
  </si>
  <si>
    <t>85.162,79</t>
  </si>
  <si>
    <t>77.930,65</t>
  </si>
  <si>
    <t>424,75</t>
  </si>
  <si>
    <t>7.656,89</t>
  </si>
  <si>
    <t>4.2.1.1.01.00098</t>
  </si>
  <si>
    <t>59.274,03</t>
  </si>
  <si>
    <t>51.205,77</t>
  </si>
  <si>
    <t>307,21</t>
  </si>
  <si>
    <t>8.375,47</t>
  </si>
  <si>
    <t>4.2.1.1.02</t>
  </si>
  <si>
    <t>TRANSPORTES S/ VENDAS</t>
  </si>
  <si>
    <t>23.085,13</t>
  </si>
  <si>
    <t>162.358,13</t>
  </si>
  <si>
    <t>4.2.1.1.02.00001</t>
  </si>
  <si>
    <t>570.250,27</t>
  </si>
  <si>
    <t>430.977,27</t>
  </si>
  <si>
    <t>4.2.1.1.03</t>
  </si>
  <si>
    <t>COMISSOES SOBRE VENDAS</t>
  </si>
  <si>
    <t>113,56</t>
  </si>
  <si>
    <t>5.262,18</t>
  </si>
  <si>
    <t>4.2.1.1.03.00001</t>
  </si>
  <si>
    <t>1.057.891,09</t>
  </si>
  <si>
    <t>1.052.742,47</t>
  </si>
  <si>
    <t>4.2.1.1.04</t>
  </si>
  <si>
    <t>PROPAGANDA E PUBLICIDADE</t>
  </si>
  <si>
    <t>11.656,01</t>
  </si>
  <si>
    <t>68.012,50</t>
  </si>
  <si>
    <t>4.2.1.1.04.00002</t>
  </si>
  <si>
    <t>PROPAGANDA, PUBLICIDADE, ANUNCIOS</t>
  </si>
  <si>
    <t>185.778,64</t>
  </si>
  <si>
    <t>132.632,15</t>
  </si>
  <si>
    <t>64.802,50</t>
  </si>
  <si>
    <t>4.2.1.1.04.00003</t>
  </si>
  <si>
    <t>PROMOCOES E EVENTOS</t>
  </si>
  <si>
    <t>378.715,51</t>
  </si>
  <si>
    <t>375.505,51</t>
  </si>
  <si>
    <t>3.210,00</t>
  </si>
  <si>
    <t>4.2.1.1.05</t>
  </si>
  <si>
    <t>13.255,88</t>
  </si>
  <si>
    <t>169.255,61</t>
  </si>
  <si>
    <t>4.2.1.1.05.00001</t>
  </si>
  <si>
    <t>59.011,58</t>
  </si>
  <si>
    <t>55.926,61</t>
  </si>
  <si>
    <t>780,12</t>
  </si>
  <si>
    <t>3.865,09</t>
  </si>
  <si>
    <t>4.2.1.1.05.00003</t>
  </si>
  <si>
    <t>250.316,71</t>
  </si>
  <si>
    <t>116.518,84</t>
  </si>
  <si>
    <t>8.496,83</t>
  </si>
  <si>
    <t>142.294,70</t>
  </si>
  <si>
    <t>4.2.1.1.05.00004</t>
  </si>
  <si>
    <t>98.195,37</t>
  </si>
  <si>
    <t>79.078,48</t>
  </si>
  <si>
    <t>3.978,93</t>
  </si>
  <si>
    <t>23.095,82</t>
  </si>
  <si>
    <t>4.2.1.1.06</t>
  </si>
  <si>
    <t>130,16</t>
  </si>
  <si>
    <t>4.2.1.1.06.00005</t>
  </si>
  <si>
    <t>863,78</t>
  </si>
  <si>
    <t>733,62</t>
  </si>
  <si>
    <t>4.2.1.1.90</t>
  </si>
  <si>
    <t>OUTROS DESPESAS COM VENDAS</t>
  </si>
  <si>
    <t>80.143,92</t>
  </si>
  <si>
    <t>774.731,58</t>
  </si>
  <si>
    <t>4.2.1.1.90.00009</t>
  </si>
  <si>
    <t>OUTROS SERVICOS PJ</t>
  </si>
  <si>
    <t>2.665.093,90</t>
  </si>
  <si>
    <t>2.022.370,39</t>
  </si>
  <si>
    <t>722.867,43</t>
  </si>
  <si>
    <t>4.2.1.1.90.00020</t>
  </si>
  <si>
    <t>DOACAO</t>
  </si>
  <si>
    <t>27.633,51</t>
  </si>
  <si>
    <t>23.575,87</t>
  </si>
  <si>
    <t>4.057,64</t>
  </si>
  <si>
    <t>4.2.1.1.90.00090</t>
  </si>
  <si>
    <t>PROV P/CREDITO DE LIQUIDACAO DUVIDOSA</t>
  </si>
  <si>
    <t>214.063,94</t>
  </si>
  <si>
    <t>166.257,43</t>
  </si>
  <si>
    <t>47.806,51</t>
  </si>
  <si>
    <t>4.2.1.2</t>
  </si>
  <si>
    <t>DESPESAS ADMINSTRATIVAS</t>
  </si>
  <si>
    <t>128.077,50</t>
  </si>
  <si>
    <t>918.677,22</t>
  </si>
  <si>
    <t>4.2.1.2.01</t>
  </si>
  <si>
    <t>53.998,54</t>
  </si>
  <si>
    <t>279.624,77</t>
  </si>
  <si>
    <t>4.2.1.2.01.00001</t>
  </si>
  <si>
    <t>336.140,36</t>
  </si>
  <si>
    <t>323.481,36</t>
  </si>
  <si>
    <t>4.2.1.2.01.00003</t>
  </si>
  <si>
    <t>366.281,80</t>
  </si>
  <si>
    <t>280.234,19</t>
  </si>
  <si>
    <t>33.087,04</t>
  </si>
  <si>
    <t>119.134,65</t>
  </si>
  <si>
    <t>4.2.1.2.01.00006</t>
  </si>
  <si>
    <t>BOLSA ESTAGIO</t>
  </si>
  <si>
    <t>35.485,94</t>
  </si>
  <si>
    <t>28.291,28</t>
  </si>
  <si>
    <t>7.194,66</t>
  </si>
  <si>
    <t>4.2.1.2.01.00008</t>
  </si>
  <si>
    <t>195.147,38</t>
  </si>
  <si>
    <t>163.267,83</t>
  </si>
  <si>
    <t>4.034,00</t>
  </si>
  <si>
    <t>35.913,55</t>
  </si>
  <si>
    <t>4.2.1.2.01.00009</t>
  </si>
  <si>
    <t>52.904,49</t>
  </si>
  <si>
    <t>44.143,96</t>
  </si>
  <si>
    <t>1.107,40</t>
  </si>
  <si>
    <t>9.867,93</t>
  </si>
  <si>
    <t>4.2.1.2.01.00010</t>
  </si>
  <si>
    <t>154.919,28</t>
  </si>
  <si>
    <t>139.775,27</t>
  </si>
  <si>
    <t>3.030,28</t>
  </si>
  <si>
    <t>18.174,29</t>
  </si>
  <si>
    <t>4.2.1.2.01.00013</t>
  </si>
  <si>
    <t>ASSISTENCIA MEDICA/FARMACIA</t>
  </si>
  <si>
    <t>36.483,71</t>
  </si>
  <si>
    <t>3.261,36</t>
  </si>
  <si>
    <t>7.479,36</t>
  </si>
  <si>
    <t>40.666,71</t>
  </si>
  <si>
    <t>4.2.1.2.01.00016</t>
  </si>
  <si>
    <t>UNIFORMES</t>
  </si>
  <si>
    <t>11.087,50</t>
  </si>
  <si>
    <t>8.427,80</t>
  </si>
  <si>
    <t>2.659,70</t>
  </si>
  <si>
    <t>4.2.1.2.01.00097</t>
  </si>
  <si>
    <t>122.710,61</t>
  </si>
  <si>
    <t>116.745,02</t>
  </si>
  <si>
    <t>2.084,43</t>
  </si>
  <si>
    <t>8.050,02</t>
  </si>
  <si>
    <t>4.2.1.2.01.00098</t>
  </si>
  <si>
    <t>86.753,66</t>
  </si>
  <si>
    <t>64.625,43</t>
  </si>
  <si>
    <t>1.555,03</t>
  </si>
  <si>
    <t>23.683,26</t>
  </si>
  <si>
    <t>4.2.1.2.02</t>
  </si>
  <si>
    <t>SERVICOS PROFISSIONAIS E CONTRATADOS PJ</t>
  </si>
  <si>
    <t>15.028,71</t>
  </si>
  <si>
    <t>155.161,66</t>
  </si>
  <si>
    <t>4.2.1.2.02.00001</t>
  </si>
  <si>
    <t>ASSESSORIA ADVOCATICIA</t>
  </si>
  <si>
    <t>83.093,53</t>
  </si>
  <si>
    <t>79.718,54</t>
  </si>
  <si>
    <t>6.749,99</t>
  </si>
  <si>
    <t>4.2.1.2.02.00002</t>
  </si>
  <si>
    <t>ASSESSORIA CONTABIL</t>
  </si>
  <si>
    <t>156.958,43</t>
  </si>
  <si>
    <t>136.325,82</t>
  </si>
  <si>
    <t>21.667,01</t>
  </si>
  <si>
    <t>4.2.1.2.02.00004</t>
  </si>
  <si>
    <t>FRETES - OUTROS</t>
  </si>
  <si>
    <t>19.147,70</t>
  </si>
  <si>
    <t>11.359,56</t>
  </si>
  <si>
    <t>7.788,14</t>
  </si>
  <si>
    <t>4.2.1.2.02.00005</t>
  </si>
  <si>
    <t>MANUTENCAO DE SOFTWARE/HARDWARE</t>
  </si>
  <si>
    <t>430.943,20</t>
  </si>
  <si>
    <t>363.223,49</t>
  </si>
  <si>
    <t>9.444,12</t>
  </si>
  <si>
    <t>77.163,83</t>
  </si>
  <si>
    <t>4.2.1.2.02.00007</t>
  </si>
  <si>
    <t>RECRUTAMENTO E SELECAO</t>
  </si>
  <si>
    <t>26.913,01</t>
  </si>
  <si>
    <t>26.099,01</t>
  </si>
  <si>
    <t>1.174,00</t>
  </si>
  <si>
    <t>4.2.1.2.02.00008</t>
  </si>
  <si>
    <t>SEGURANCA E VIGILANCIA</t>
  </si>
  <si>
    <t>37.331,09</t>
  </si>
  <si>
    <t>32.022,35</t>
  </si>
  <si>
    <t>189,44</t>
  </si>
  <si>
    <t>5.498,18</t>
  </si>
  <si>
    <t>4.2.1.2.02.00009</t>
  </si>
  <si>
    <t>1.852.782,00</t>
  </si>
  <si>
    <t>1.818.287,24</t>
  </si>
  <si>
    <t>625,75</t>
  </si>
  <si>
    <t>35.120,51</t>
  </si>
  <si>
    <t>4.2.1.2.03</t>
  </si>
  <si>
    <t>DESPESAS COM OCUPACAO</t>
  </si>
  <si>
    <t>210.024,96</t>
  </si>
  <si>
    <t>4.2.1.2.03.00001</t>
  </si>
  <si>
    <t>ALUGUEIS</t>
  </si>
  <si>
    <t>764.093,51</t>
  </si>
  <si>
    <t>582.473,51</t>
  </si>
  <si>
    <t>204.120,00</t>
  </si>
  <si>
    <t>4.2.1.2.03.00002</t>
  </si>
  <si>
    <t>LIMPEZA E JARDINAGEM</t>
  </si>
  <si>
    <t>9.878,38</t>
  </si>
  <si>
    <t>8.778,38</t>
  </si>
  <si>
    <t>4.2.1.2.03.00004</t>
  </si>
  <si>
    <t>SEGURO DO PREDIO</t>
  </si>
  <si>
    <t>160.540,30</t>
  </si>
  <si>
    <t>155.735,34</t>
  </si>
  <si>
    <t>4.804,96</t>
  </si>
  <si>
    <t>4.2.1.2.04</t>
  </si>
  <si>
    <t>UTILIDADES E SERVICOS</t>
  </si>
  <si>
    <t>4.937,63</t>
  </si>
  <si>
    <t>28.265,83</t>
  </si>
  <si>
    <t>4.2.1.2.04.00001</t>
  </si>
  <si>
    <t>AGUA E ESGOTO</t>
  </si>
  <si>
    <t>3.531,33</t>
  </si>
  <si>
    <t>1.711,89</t>
  </si>
  <si>
    <t>1.819,44</t>
  </si>
  <si>
    <t>4.2.1.2.04.00002</t>
  </si>
  <si>
    <t>CORREIO, MALOTES E REMESSAS</t>
  </si>
  <si>
    <t>13.656,24</t>
  </si>
  <si>
    <t>12.611,08</t>
  </si>
  <si>
    <t>1.045,16</t>
  </si>
  <si>
    <t>4.2.1.2.04.00003</t>
  </si>
  <si>
    <t>ENERGIA ELETRICA</t>
  </si>
  <si>
    <t>53.986,00</t>
  </si>
  <si>
    <t>47.778,93</t>
  </si>
  <si>
    <t>6.207,07</t>
  </si>
  <si>
    <t>4.2.1.2.04.00004</t>
  </si>
  <si>
    <t>SEGUROS</t>
  </si>
  <si>
    <t>20.438,64</t>
  </si>
  <si>
    <t>17.408,90</t>
  </si>
  <si>
    <t>3.029,74</t>
  </si>
  <si>
    <t>4.2.1.2.04.00005</t>
  </si>
  <si>
    <t>TELEFONE, INTERNET, TELEGRAMA</t>
  </si>
  <si>
    <t>77.420,10</t>
  </si>
  <si>
    <t>66.193,31</t>
  </si>
  <si>
    <t>16.164,42</t>
  </si>
  <si>
    <t>4.2.1.2.05</t>
  </si>
  <si>
    <t>CONSUMO DE MATERIAIS E PRODUTOS</t>
  </si>
  <si>
    <t>5.505,46</t>
  </si>
  <si>
    <t>37.835,34</t>
  </si>
  <si>
    <t>4.2.1.2.05.00002</t>
  </si>
  <si>
    <t>HIGIENE E LIMPEZA</t>
  </si>
  <si>
    <t>86.599,65</t>
  </si>
  <si>
    <t>67.855,14</t>
  </si>
  <si>
    <t>3.419,28</t>
  </si>
  <si>
    <t>22.163,79</t>
  </si>
  <si>
    <t>4.2.1.2.05.00003</t>
  </si>
  <si>
    <t>MATERIAL DE ESCRITORIO</t>
  </si>
  <si>
    <t>90.652,85</t>
  </si>
  <si>
    <t>77.923,13</t>
  </si>
  <si>
    <t>1.998,18</t>
  </si>
  <si>
    <t>14.727,90</t>
  </si>
  <si>
    <t>4.2.1.2.05.00004</t>
  </si>
  <si>
    <t>MATERIAL DE INFORMATICA</t>
  </si>
  <si>
    <t>5.951,76</t>
  </si>
  <si>
    <t>5.542,76</t>
  </si>
  <si>
    <t>409,00</t>
  </si>
  <si>
    <t>4.2.1.2.05.00005</t>
  </si>
  <si>
    <t>MATERIAL DE MANUTENCAO</t>
  </si>
  <si>
    <t>6.583,64</t>
  </si>
  <si>
    <t>6.136,99</t>
  </si>
  <si>
    <t>534,65</t>
  </si>
  <si>
    <t>4.2.1.2.06</t>
  </si>
  <si>
    <t>515,07</t>
  </si>
  <si>
    <t>4.2.1.2.06.00003</t>
  </si>
  <si>
    <t>312.843,24</t>
  </si>
  <si>
    <t>312.328,17</t>
  </si>
  <si>
    <t>4.2.1.2.07</t>
  </si>
  <si>
    <t>601,88</t>
  </si>
  <si>
    <t>4.2.1.2.07.00005</t>
  </si>
  <si>
    <t>1.625,48</t>
  </si>
  <si>
    <t>1.281,86</t>
  </si>
  <si>
    <t>4.2.1.2.08</t>
  </si>
  <si>
    <t>DESPESAS GERAIS</t>
  </si>
  <si>
    <t>6.935,05</t>
  </si>
  <si>
    <t>12.595,26</t>
  </si>
  <si>
    <t>4.2.1.2.08.00001</t>
  </si>
  <si>
    <t>ALUGUEL DE BENS MOVEIS</t>
  </si>
  <si>
    <t>16.028,76</t>
  </si>
  <si>
    <t>13.071,27</t>
  </si>
  <si>
    <t>585,05</t>
  </si>
  <si>
    <t>3.542,54</t>
  </si>
  <si>
    <t>4.2.1.2.08.00004</t>
  </si>
  <si>
    <t>CONTRIB.A ASSOCIACAO DE CLASSE/SINDICATO</t>
  </si>
  <si>
    <t>7.084,85</t>
  </si>
  <si>
    <t>4.382,13</t>
  </si>
  <si>
    <t>2.702,72</t>
  </si>
  <si>
    <t>4.2.1.2.08.00009</t>
  </si>
  <si>
    <t>ASSINATURA DE REVISTAS/JORNAIS</t>
  </si>
  <si>
    <t>10.103,80</t>
  </si>
  <si>
    <t>4.2.1.2.20</t>
  </si>
  <si>
    <t>DESPESAS TRIBUTARIAS</t>
  </si>
  <si>
    <t>6.958,20</t>
  </si>
  <si>
    <t>81.920,87</t>
  </si>
  <si>
    <t>4.2.1.2.20.00003</t>
  </si>
  <si>
    <t>IPTU</t>
  </si>
  <si>
    <t>22.440,32</t>
  </si>
  <si>
    <t>14.324,21</t>
  </si>
  <si>
    <t>1.383,60</t>
  </si>
  <si>
    <t>9.499,71</t>
  </si>
  <si>
    <t>4.2.1.2.20.00005</t>
  </si>
  <si>
    <t>IMPOSTOS E TAXAS</t>
  </si>
  <si>
    <t>356.598,10</t>
  </si>
  <si>
    <t>292.634,16</t>
  </si>
  <si>
    <t>5.372,15</t>
  </si>
  <si>
    <t>69.336,09</t>
  </si>
  <si>
    <t>4.2.1.2.20.00006</t>
  </si>
  <si>
    <t>IOF</t>
  </si>
  <si>
    <t>33.461,89</t>
  </si>
  <si>
    <t>30.579,27</t>
  </si>
  <si>
    <t>202,45</t>
  </si>
  <si>
    <t>3.085,07</t>
  </si>
  <si>
    <t>4.2.1.2.25</t>
  </si>
  <si>
    <t>DEPRECIACAO/AMORTIZACAO ADM./VENDAS</t>
  </si>
  <si>
    <t>11.955,65</t>
  </si>
  <si>
    <t>112.131,58</t>
  </si>
  <si>
    <t>4.2.1.2.25.00001</t>
  </si>
  <si>
    <t>DEPRECIACAO</t>
  </si>
  <si>
    <t>418.591,72</t>
  </si>
  <si>
    <t>340.673,29</t>
  </si>
  <si>
    <t>86.493,58</t>
  </si>
  <si>
    <t>4.2.1.2.25.00002</t>
  </si>
  <si>
    <t>AMORTIZACAO</t>
  </si>
  <si>
    <t>97.582,94</t>
  </si>
  <si>
    <t>75.325,44</t>
  </si>
  <si>
    <t>25.638,00</t>
  </si>
  <si>
    <t>4.3</t>
  </si>
  <si>
    <t>EFEITOS FINANCEIROS LIQUIDOS</t>
  </si>
  <si>
    <t>108.754,85</t>
  </si>
  <si>
    <t>39.406,38</t>
  </si>
  <si>
    <t>159.451,71</t>
  </si>
  <si>
    <t>4.3.1</t>
  </si>
  <si>
    <t>4.3.1.1</t>
  </si>
  <si>
    <t>RECEITAS E DEPESAS FINANCEIRAS</t>
  </si>
  <si>
    <t>4.3.1.1.01</t>
  </si>
  <si>
    <t>RECEITAS FINANCEIRAS</t>
  </si>
  <si>
    <t>20.868,19</t>
  </si>
  <si>
    <t>13.437,34</t>
  </si>
  <si>
    <t>179.400,17</t>
  </si>
  <si>
    <t>4.3.1.1.01.00001</t>
  </si>
  <si>
    <t>RENDIMENTOS DE APLICACOES</t>
  </si>
  <si>
    <t>505.578,38</t>
  </si>
  <si>
    <t>628.993,77</t>
  </si>
  <si>
    <t>20.846,51</t>
  </si>
  <si>
    <t>6.221,42</t>
  </si>
  <si>
    <t>108.790,30</t>
  </si>
  <si>
    <t>4.3.1.1.01.00003</t>
  </si>
  <si>
    <t>JUROS</t>
  </si>
  <si>
    <t>286.009,67</t>
  </si>
  <si>
    <t>329.312,10</t>
  </si>
  <si>
    <t>21,68</t>
  </si>
  <si>
    <t>4.792,98</t>
  </si>
  <si>
    <t>48.073,73</t>
  </si>
  <si>
    <t>4.3.1.1.01.00004</t>
  </si>
  <si>
    <t>DESCONTOS OBTIDOS</t>
  </si>
  <si>
    <t>142.620,99</t>
  </si>
  <si>
    <t>162.734,19</t>
  </si>
  <si>
    <t>2.422,94</t>
  </si>
  <si>
    <t>22.536,14</t>
  </si>
  <si>
    <t>4.3.1.1.02</t>
  </si>
  <si>
    <t>DESPESAS FINANCEIRAS</t>
  </si>
  <si>
    <t>31.098,53</t>
  </si>
  <si>
    <t>349,52</t>
  </si>
  <si>
    <t>402.201,55</t>
  </si>
  <si>
    <t>4.3.1.1.02.00001</t>
  </si>
  <si>
    <t>JUROS SOBRE EMPRESTIMOS</t>
  </si>
  <si>
    <t>1.783.238,41</t>
  </si>
  <si>
    <t>1.501.905,28</t>
  </si>
  <si>
    <t>20.597,72</t>
  </si>
  <si>
    <t>8,83</t>
  </si>
  <si>
    <t>301.922,02</t>
  </si>
  <si>
    <t>4.3.1.1.02.00004</t>
  </si>
  <si>
    <t>JUROS DE MORA</t>
  </si>
  <si>
    <t>54.755,02</t>
  </si>
  <si>
    <t>37.839,41</t>
  </si>
  <si>
    <t>1.681,85</t>
  </si>
  <si>
    <t>340,69</t>
  </si>
  <si>
    <t>18.256,77</t>
  </si>
  <si>
    <t>4.3.1.1.02.00005</t>
  </si>
  <si>
    <t>DESCONTOS CONCEDIDOS</t>
  </si>
  <si>
    <t>374.970,40</t>
  </si>
  <si>
    <t>339.996,73</t>
  </si>
  <si>
    <t>4.048,71</t>
  </si>
  <si>
    <t>39.022,38</t>
  </si>
  <si>
    <t>4.3.1.1.02.00006</t>
  </si>
  <si>
    <t>DESPESAS BANCARIAS</t>
  </si>
  <si>
    <t>269.050,84</t>
  </si>
  <si>
    <t>251.281,02</t>
  </si>
  <si>
    <t>2.443,04</t>
  </si>
  <si>
    <t>20.212,86</t>
  </si>
  <si>
    <t>4.3.1.1.02.00007</t>
  </si>
  <si>
    <t>DESP. CARTAO DEBITO/CREDITO</t>
  </si>
  <si>
    <t>61.658,12</t>
  </si>
  <si>
    <t>41.197,81</t>
  </si>
  <si>
    <t>2.327,21</t>
  </si>
  <si>
    <t>22.787,52</t>
  </si>
  <si>
    <t>4.3.1.1.03</t>
  </si>
  <si>
    <t>VARIACAO CAMBIAL</t>
  </si>
  <si>
    <t>56.788,13</t>
  </si>
  <si>
    <t>25.619,52</t>
  </si>
  <si>
    <t>63.349,67</t>
  </si>
  <si>
    <t>4.3.1.1.03.00001</t>
  </si>
  <si>
    <t>VARIACAO CAMBIAL ATIVA (RECEITAS)</t>
  </si>
  <si>
    <t>1.437.849,70</t>
  </si>
  <si>
    <t>1.870.226,80</t>
  </si>
  <si>
    <t>457.996,62</t>
  </si>
  <si>
    <t>4.3.1.1.03.00002</t>
  </si>
  <si>
    <t>VARIACAO CAMBIAL PASSIVA (DESPESAS)</t>
  </si>
  <si>
    <t>2.134.563,75</t>
  </si>
  <si>
    <t>1.796.704,93</t>
  </si>
  <si>
    <t>394.646,95</t>
  </si>
  <si>
    <t>4.9</t>
  </si>
  <si>
    <t>OUTRAS RECEITAS E DESPESAS</t>
  </si>
  <si>
    <t>11.087,64</t>
  </si>
  <si>
    <t>4.9.1</t>
  </si>
  <si>
    <t>4.9.1.1</t>
  </si>
  <si>
    <t>RESULTADO - VENDA ATIVO IMOBILIZADO</t>
  </si>
  <si>
    <t>12.809,60</t>
  </si>
  <si>
    <t>4.9.1.1.01</t>
  </si>
  <si>
    <t>4.9.1.1.01.00001</t>
  </si>
  <si>
    <t>VALOR DE VENDA</t>
  </si>
  <si>
    <t>74.483,33</t>
  </si>
  <si>
    <t>149.048,73</t>
  </si>
  <si>
    <t>74.565,40</t>
  </si>
  <si>
    <t>4.9.1.1.01.00002</t>
  </si>
  <si>
    <t>(-) CUSTO</t>
  </si>
  <si>
    <t>214.211,40</t>
  </si>
  <si>
    <t>126.836,40</t>
  </si>
  <si>
    <t>87.375,00</t>
  </si>
  <si>
    <t>4.9.1.2</t>
  </si>
  <si>
    <t>OUTROS</t>
  </si>
  <si>
    <t>23.897,24</t>
  </si>
  <si>
    <t>4.9.1.2.02</t>
  </si>
  <si>
    <t>OUTRAS RECEITAS</t>
  </si>
  <si>
    <t>25.397,24</t>
  </si>
  <si>
    <t>4.9.1.2.02.00001</t>
  </si>
  <si>
    <t>3.008,69</t>
  </si>
  <si>
    <t>28.405,93</t>
  </si>
  <si>
    <t>4.9.1.2.04</t>
  </si>
  <si>
    <t>OUTROS CUSTOS</t>
  </si>
  <si>
    <t>4.9.1.2.04.00003</t>
  </si>
  <si>
    <t>PERDA/ROUBO</t>
  </si>
  <si>
    <t>5</t>
  </si>
  <si>
    <t>APURACAO DE RESULTADO</t>
  </si>
  <si>
    <t>597.147,01</t>
  </si>
  <si>
    <t>5.1</t>
  </si>
  <si>
    <t>5.1.1</t>
  </si>
  <si>
    <t>5.1.1.1</t>
  </si>
  <si>
    <t>RESULTADO EXERCICIO</t>
  </si>
  <si>
    <t>5.1.1.1.01</t>
  </si>
  <si>
    <t>LUCRO/PREJUIZO EXERCICIO</t>
  </si>
  <si>
    <t>5.1.1.1.01.00001</t>
  </si>
  <si>
    <t>PROVISAO IRPJ</t>
  </si>
  <si>
    <t>2.144.990,62</t>
  </si>
  <si>
    <t>1.810.089,00</t>
  </si>
  <si>
    <t>373.574,27</t>
  </si>
  <si>
    <t>5.1.1.1.01.00002</t>
  </si>
  <si>
    <t>PROVISAO CSLL</t>
  </si>
  <si>
    <t>1.187.799,54</t>
  </si>
  <si>
    <t>1.017.332,95</t>
  </si>
  <si>
    <t>190.923,52</t>
  </si>
  <si>
    <t>5.1.1.1.01.00003</t>
  </si>
  <si>
    <t>ENCERRAMENTO DO EXERCICIO</t>
  </si>
  <si>
    <t>86.016.009,66</t>
  </si>
  <si>
    <t>85.983.360,44</t>
  </si>
  <si>
    <t>32.649,22</t>
  </si>
  <si>
    <t>Totalizadores</t>
  </si>
  <si>
    <t>TOTAL</t>
  </si>
  <si>
    <t>SOMAANTDB</t>
  </si>
  <si>
    <t>SOMAANTCR</t>
  </si>
  <si>
    <t>SOMADEB</t>
  </si>
  <si>
    <t>SOMACRD</t>
  </si>
  <si>
    <t>SOMAMOVDB</t>
  </si>
  <si>
    <t>SOMAMOVCR</t>
  </si>
  <si>
    <t>T O T A I S =====================&gt;</t>
  </si>
  <si>
    <t>15.923.933,85</t>
  </si>
  <si>
    <t>25.409.979,44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</si>
</sst>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6"/>
      <color indexed="8"/>
      <name val="Courier New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6"/>
      <color indexed="62"/>
      <name val="Courier New"/>
      <family val="2"/>
    </font>
    <font>
      <sz val="6"/>
      <color indexed="9"/>
      <name val="Courier Ne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FFFFFF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9" fillId="34" borderId="11" xfId="0" applyFont="1" applyFill="1" applyBorder="1" applyAlignment="1">
      <alignment horizontal="center"/>
    </xf>
    <xf numFmtId="0" fontId="0" fillId="35" borderId="12" xfId="0" applyFont="1" applyFill="1" applyBorder="1" applyAlignment="1">
      <alignment horizontal="left"/>
    </xf>
    <xf numFmtId="0" fontId="0" fillId="36" borderId="13" xfId="0" applyFont="1" applyFill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D188-2632-43BF-A6FE-B47F19C143E4}">
  <dimension ref="A1:B23"/>
  <sheetViews>
    <sheetView workbookViewId="0">
      <selection sqref="A1:B1"/>
    </sheetView>
  </sheetViews>
  <sheetFormatPr defaultRowHeight="15" customHeight="1" x14ac:dyDescent="0.2"/>
  <cols>
    <col min="1" max="1" width="44.28515625" bestFit="1" customWidth="1"/>
    <col min="2" max="2" width="11.28515625" bestFit="1" customWidth="1"/>
  </cols>
  <sheetData>
    <row r="1" spans="1:2" ht="15" customHeight="1" thickBot="1" x14ac:dyDescent="0.25">
      <c r="A1" s="1" t="s">
        <v>0</v>
      </c>
      <c r="B1" s="1"/>
    </row>
    <row r="2" spans="1:2" ht="15" customHeight="1" thickTop="1" x14ac:dyDescent="0.2">
      <c r="A2" s="2" t="s">
        <v>1</v>
      </c>
      <c r="B2" s="2" t="s">
        <v>2</v>
      </c>
    </row>
    <row r="3" spans="1:2" ht="15" customHeight="1" x14ac:dyDescent="0.2">
      <c r="A3" s="3" t="s">
        <v>3</v>
      </c>
      <c r="B3" s="3" t="s">
        <v>4</v>
      </c>
    </row>
    <row r="4" spans="1:2" ht="15" customHeight="1" x14ac:dyDescent="0.2">
      <c r="A4" s="4" t="s">
        <v>5</v>
      </c>
      <c r="B4" s="4" t="s">
        <v>6</v>
      </c>
    </row>
    <row r="5" spans="1:2" ht="15" customHeight="1" x14ac:dyDescent="0.2">
      <c r="A5" s="3" t="s">
        <v>7</v>
      </c>
      <c r="B5" s="3" t="s">
        <v>8</v>
      </c>
    </row>
    <row r="6" spans="1:2" ht="15" customHeight="1" x14ac:dyDescent="0.2">
      <c r="A6" s="4" t="s">
        <v>9</v>
      </c>
      <c r="B6" s="4" t="s">
        <v>10</v>
      </c>
    </row>
    <row r="7" spans="1:2" ht="15" customHeight="1" x14ac:dyDescent="0.2">
      <c r="A7" s="3" t="s">
        <v>11</v>
      </c>
      <c r="B7" s="3" t="s">
        <v>12</v>
      </c>
    </row>
    <row r="8" spans="1:2" ht="15" customHeight="1" x14ac:dyDescent="0.2">
      <c r="A8" s="4" t="s">
        <v>13</v>
      </c>
      <c r="B8" s="4" t="s">
        <v>14</v>
      </c>
    </row>
    <row r="9" spans="1:2" ht="15" customHeight="1" x14ac:dyDescent="0.2">
      <c r="A9" s="3" t="s">
        <v>15</v>
      </c>
      <c r="B9" s="3" t="s">
        <v>16</v>
      </c>
    </row>
    <row r="10" spans="1:2" ht="15" customHeight="1" x14ac:dyDescent="0.2">
      <c r="A10" s="4" t="s">
        <v>17</v>
      </c>
      <c r="B10" s="4" t="s">
        <v>18</v>
      </c>
    </row>
    <row r="11" spans="1:2" ht="15" customHeight="1" x14ac:dyDescent="0.2">
      <c r="A11" s="3" t="s">
        <v>19</v>
      </c>
      <c r="B11" s="3" t="s">
        <v>8</v>
      </c>
    </row>
    <row r="12" spans="1:2" ht="15" customHeight="1" x14ac:dyDescent="0.2">
      <c r="A12" s="4" t="s">
        <v>20</v>
      </c>
      <c r="B12" s="4" t="s">
        <v>21</v>
      </c>
    </row>
    <row r="13" spans="1:2" ht="15" customHeight="1" x14ac:dyDescent="0.2">
      <c r="A13" s="3" t="s">
        <v>22</v>
      </c>
      <c r="B13" s="3">
        <v>1</v>
      </c>
    </row>
    <row r="14" spans="1:2" ht="15" customHeight="1" x14ac:dyDescent="0.2">
      <c r="A14" s="4" t="s">
        <v>23</v>
      </c>
      <c r="B14" s="4" t="s">
        <v>24</v>
      </c>
    </row>
    <row r="15" spans="1:2" ht="15" customHeight="1" x14ac:dyDescent="0.2">
      <c r="A15" s="3" t="s">
        <v>25</v>
      </c>
      <c r="B15" s="3" t="s">
        <v>24</v>
      </c>
    </row>
    <row r="16" spans="1:2" ht="15" customHeight="1" x14ac:dyDescent="0.2">
      <c r="A16" s="4" t="s">
        <v>26</v>
      </c>
      <c r="B16" s="4" t="s">
        <v>27</v>
      </c>
    </row>
    <row r="17" spans="1:2" ht="15" customHeight="1" x14ac:dyDescent="0.2">
      <c r="A17" s="3" t="s">
        <v>28</v>
      </c>
      <c r="B17" s="3" t="s">
        <v>24</v>
      </c>
    </row>
    <row r="18" spans="1:2" ht="15" customHeight="1" x14ac:dyDescent="0.2">
      <c r="A18" s="4" t="s">
        <v>29</v>
      </c>
      <c r="B18" s="4" t="s">
        <v>30</v>
      </c>
    </row>
    <row r="19" spans="1:2" ht="15" customHeight="1" x14ac:dyDescent="0.2">
      <c r="A19" s="3" t="s">
        <v>31</v>
      </c>
      <c r="B19" s="3" t="s">
        <v>24</v>
      </c>
    </row>
    <row r="20" spans="1:2" ht="15" customHeight="1" x14ac:dyDescent="0.2">
      <c r="A20" s="4" t="s">
        <v>32</v>
      </c>
      <c r="B20" s="4" t="s">
        <v>14</v>
      </c>
    </row>
    <row r="21" spans="1:2" ht="15" customHeight="1" x14ac:dyDescent="0.2">
      <c r="A21" s="3" t="s">
        <v>33</v>
      </c>
      <c r="B21" s="3" t="s">
        <v>34</v>
      </c>
    </row>
    <row r="22" spans="1:2" ht="15" customHeight="1" x14ac:dyDescent="0.2">
      <c r="A22" s="4" t="s">
        <v>35</v>
      </c>
      <c r="B22" s="4" t="s">
        <v>24</v>
      </c>
    </row>
    <row r="23" spans="1:2" ht="15" customHeight="1" x14ac:dyDescent="0.2">
      <c r="A23" s="3" t="s">
        <v>36</v>
      </c>
      <c r="B23" s="3" t="s">
        <v>27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3F95D-B495-4B45-8B4D-2C701DAD5D17}">
  <dimension ref="A1:J1240"/>
  <sheetViews>
    <sheetView tabSelected="1" workbookViewId="0">
      <selection activeCell="A2" sqref="A2:J1240"/>
    </sheetView>
  </sheetViews>
  <sheetFormatPr defaultRowHeight="15" customHeight="1" x14ac:dyDescent="0.2"/>
  <cols>
    <col min="1" max="1" width="17.42578125" bestFit="1" customWidth="1"/>
    <col min="2" max="2" width="54.5703125" bestFit="1" customWidth="1"/>
    <col min="3" max="3" width="21.5703125" bestFit="1" customWidth="1"/>
    <col min="4" max="4" width="22.5703125" bestFit="1" customWidth="1"/>
    <col min="5" max="5" width="18.5703125" bestFit="1" customWidth="1"/>
    <col min="6" max="6" width="19.5703125" bestFit="1" customWidth="1"/>
    <col min="7" max="7" width="13.42578125" bestFit="1" customWidth="1"/>
    <col min="8" max="8" width="14.42578125" bestFit="1" customWidth="1"/>
    <col min="10" max="10" width="13.140625" bestFit="1" customWidth="1"/>
  </cols>
  <sheetData>
    <row r="1" spans="1:10" ht="15" customHeight="1" thickBot="1" x14ac:dyDescent="0.25">
      <c r="A1" s="1" t="s">
        <v>37</v>
      </c>
      <c r="B1" s="1"/>
      <c r="C1" s="1"/>
      <c r="D1" s="1"/>
      <c r="E1" s="1"/>
      <c r="F1" s="1"/>
      <c r="G1" s="1"/>
      <c r="H1" s="1"/>
    </row>
    <row r="2" spans="1:10" ht="15" customHeight="1" thickTop="1" x14ac:dyDescent="0.2">
      <c r="A2" s="2" t="s">
        <v>38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>
        <v>9</v>
      </c>
      <c r="J2">
        <v>10</v>
      </c>
    </row>
    <row r="3" spans="1:10" ht="15" customHeight="1" x14ac:dyDescent="0.2">
      <c r="A3" s="3" t="s">
        <v>8</v>
      </c>
      <c r="B3" s="3" t="s">
        <v>46</v>
      </c>
      <c r="C3" s="3" t="s">
        <v>47</v>
      </c>
      <c r="D3" s="3" t="s">
        <v>47</v>
      </c>
      <c r="E3" s="3" t="s">
        <v>48</v>
      </c>
      <c r="F3" s="3" t="s">
        <v>49</v>
      </c>
      <c r="G3" s="3" t="s">
        <v>50</v>
      </c>
      <c r="H3" s="3" t="s">
        <v>47</v>
      </c>
      <c r="I3">
        <f>IF(MID(A3,1,1)="1",G3-H3,IF(MID(A3,1,1)="2",H3-G3,"VERIFICAR"))</f>
        <v>13773226.189999999</v>
      </c>
      <c r="J3">
        <f>IF(MID(A3,1,1)="1",H3-I3,IF(MID(B3,1,1)="2",I3-H3,IF(MID(A3,1,1)="3",F3-E3,IF(MID(A3,1,1)="4",E3-F3,"VERIFICAR"))))</f>
        <v>-13773226.189999999</v>
      </c>
    </row>
    <row r="4" spans="1:10" ht="15" customHeight="1" x14ac:dyDescent="0.2">
      <c r="A4" s="4" t="s">
        <v>51</v>
      </c>
      <c r="B4" s="4" t="s">
        <v>52</v>
      </c>
      <c r="C4" s="4" t="s">
        <v>47</v>
      </c>
      <c r="D4" s="4" t="s">
        <v>47</v>
      </c>
      <c r="E4" s="4" t="s">
        <v>53</v>
      </c>
      <c r="F4" s="4" t="s">
        <v>54</v>
      </c>
      <c r="G4" s="4" t="s">
        <v>55</v>
      </c>
      <c r="H4" s="4" t="s">
        <v>47</v>
      </c>
      <c r="I4">
        <f t="shared" ref="I4:I67" si="0">IF(MID(A4,1,1)="1",G4-H4,IF(MID(A4,1,1)="2",H4-G4,"VERIFICAR"))</f>
        <v>12943002.26</v>
      </c>
      <c r="J4">
        <f t="shared" ref="J4:J67" si="1">IF(MID(A4,1,1)="1",H4-I4,IF(MID(B4,1,1)="2",I4-H4,IF(MID(A4,1,1)="3",F4-E4,IF(MID(A4,1,1)="4",E4-F4,"VERIFICAR"))))</f>
        <v>-12943002.26</v>
      </c>
    </row>
    <row r="5" spans="1:10" ht="15" customHeight="1" x14ac:dyDescent="0.2">
      <c r="A5" s="3" t="s">
        <v>56</v>
      </c>
      <c r="B5" s="3" t="s">
        <v>52</v>
      </c>
      <c r="C5" s="3" t="s">
        <v>47</v>
      </c>
      <c r="D5" s="3" t="s">
        <v>47</v>
      </c>
      <c r="E5" s="3" t="s">
        <v>53</v>
      </c>
      <c r="F5" s="3" t="s">
        <v>54</v>
      </c>
      <c r="G5" s="3" t="s">
        <v>55</v>
      </c>
      <c r="H5" s="3" t="s">
        <v>47</v>
      </c>
      <c r="I5">
        <f t="shared" si="0"/>
        <v>12943002.26</v>
      </c>
      <c r="J5">
        <f t="shared" si="1"/>
        <v>-12943002.26</v>
      </c>
    </row>
    <row r="6" spans="1:10" ht="15" customHeight="1" x14ac:dyDescent="0.2">
      <c r="A6" s="4" t="s">
        <v>57</v>
      </c>
      <c r="B6" s="4" t="s">
        <v>58</v>
      </c>
      <c r="C6" s="4" t="s">
        <v>47</v>
      </c>
      <c r="D6" s="4" t="s">
        <v>47</v>
      </c>
      <c r="E6" s="4" t="s">
        <v>59</v>
      </c>
      <c r="F6" s="4" t="s">
        <v>60</v>
      </c>
      <c r="G6" s="4" t="s">
        <v>61</v>
      </c>
      <c r="H6" s="4" t="s">
        <v>47</v>
      </c>
      <c r="I6">
        <f t="shared" si="0"/>
        <v>83995.01</v>
      </c>
      <c r="J6">
        <f t="shared" si="1"/>
        <v>-83995.01</v>
      </c>
    </row>
    <row r="7" spans="1:10" ht="15" customHeight="1" x14ac:dyDescent="0.2">
      <c r="A7" s="3" t="s">
        <v>62</v>
      </c>
      <c r="B7" s="3" t="s">
        <v>63</v>
      </c>
      <c r="C7" s="3" t="s">
        <v>47</v>
      </c>
      <c r="D7" s="3" t="s">
        <v>47</v>
      </c>
      <c r="E7" s="3" t="s">
        <v>47</v>
      </c>
      <c r="F7" s="3" t="s">
        <v>47</v>
      </c>
      <c r="G7" s="3" t="s">
        <v>64</v>
      </c>
      <c r="H7" s="3" t="s">
        <v>47</v>
      </c>
      <c r="I7">
        <f t="shared" si="0"/>
        <v>12447.7</v>
      </c>
      <c r="J7">
        <f t="shared" si="1"/>
        <v>-12447.7</v>
      </c>
    </row>
    <row r="8" spans="1:10" ht="15" customHeight="1" x14ac:dyDescent="0.2">
      <c r="A8" s="4" t="s">
        <v>65</v>
      </c>
      <c r="B8" s="4" t="s">
        <v>66</v>
      </c>
      <c r="C8" s="4" t="s">
        <v>67</v>
      </c>
      <c r="D8" s="4" t="s">
        <v>68</v>
      </c>
      <c r="E8" s="4" t="s">
        <v>47</v>
      </c>
      <c r="F8" s="4" t="s">
        <v>47</v>
      </c>
      <c r="G8" s="4" t="s">
        <v>64</v>
      </c>
      <c r="H8" s="4" t="s">
        <v>47</v>
      </c>
      <c r="I8">
        <f t="shared" si="0"/>
        <v>12447.7</v>
      </c>
      <c r="J8">
        <f t="shared" si="1"/>
        <v>-12447.7</v>
      </c>
    </row>
    <row r="9" spans="1:10" ht="15" customHeight="1" x14ac:dyDescent="0.2">
      <c r="A9" s="3" t="s">
        <v>69</v>
      </c>
      <c r="B9" s="3" t="s">
        <v>70</v>
      </c>
      <c r="C9" s="3" t="s">
        <v>47</v>
      </c>
      <c r="D9" s="3" t="s">
        <v>47</v>
      </c>
      <c r="E9" s="3" t="s">
        <v>59</v>
      </c>
      <c r="F9" s="3" t="s">
        <v>60</v>
      </c>
      <c r="G9" s="3" t="s">
        <v>71</v>
      </c>
      <c r="H9" s="3" t="s">
        <v>47</v>
      </c>
      <c r="I9">
        <f t="shared" si="0"/>
        <v>71547.31</v>
      </c>
      <c r="J9">
        <f t="shared" si="1"/>
        <v>-71547.31</v>
      </c>
    </row>
    <row r="10" spans="1:10" ht="15" customHeight="1" x14ac:dyDescent="0.2">
      <c r="A10" s="4" t="s">
        <v>72</v>
      </c>
      <c r="B10" s="4" t="s">
        <v>73</v>
      </c>
      <c r="C10" s="4" t="s">
        <v>74</v>
      </c>
      <c r="D10" s="4" t="s">
        <v>74</v>
      </c>
      <c r="E10" s="4" t="s">
        <v>75</v>
      </c>
      <c r="F10" s="4" t="s">
        <v>75</v>
      </c>
      <c r="G10" s="4" t="s">
        <v>47</v>
      </c>
      <c r="H10" s="4" t="s">
        <v>47</v>
      </c>
      <c r="I10">
        <f t="shared" si="0"/>
        <v>0</v>
      </c>
      <c r="J10">
        <f t="shared" si="1"/>
        <v>0</v>
      </c>
    </row>
    <row r="11" spans="1:10" ht="15" customHeight="1" x14ac:dyDescent="0.2">
      <c r="A11" s="3" t="s">
        <v>76</v>
      </c>
      <c r="B11" s="3" t="s">
        <v>77</v>
      </c>
      <c r="C11" s="3" t="s">
        <v>78</v>
      </c>
      <c r="D11" s="3" t="s">
        <v>79</v>
      </c>
      <c r="E11" s="3" t="s">
        <v>80</v>
      </c>
      <c r="F11" s="3" t="s">
        <v>81</v>
      </c>
      <c r="G11" s="3" t="s">
        <v>82</v>
      </c>
      <c r="H11" s="3" t="s">
        <v>47</v>
      </c>
      <c r="I11">
        <f t="shared" si="0"/>
        <v>1250.83</v>
      </c>
      <c r="J11">
        <f t="shared" si="1"/>
        <v>-1250.83</v>
      </c>
    </row>
    <row r="12" spans="1:10" ht="15" customHeight="1" x14ac:dyDescent="0.2">
      <c r="A12" s="4" t="s">
        <v>83</v>
      </c>
      <c r="B12" s="4" t="s">
        <v>84</v>
      </c>
      <c r="C12" s="4" t="s">
        <v>85</v>
      </c>
      <c r="D12" s="4" t="s">
        <v>86</v>
      </c>
      <c r="E12" s="4" t="s">
        <v>87</v>
      </c>
      <c r="F12" s="4" t="s">
        <v>88</v>
      </c>
      <c r="G12" s="4" t="s">
        <v>89</v>
      </c>
      <c r="H12" s="4" t="s">
        <v>47</v>
      </c>
      <c r="I12">
        <f t="shared" si="0"/>
        <v>2771.14</v>
      </c>
      <c r="J12">
        <f t="shared" si="1"/>
        <v>-2771.14</v>
      </c>
    </row>
    <row r="13" spans="1:10" ht="15" customHeight="1" x14ac:dyDescent="0.2">
      <c r="A13" s="3" t="s">
        <v>90</v>
      </c>
      <c r="B13" s="3" t="s">
        <v>91</v>
      </c>
      <c r="C13" s="3" t="s">
        <v>92</v>
      </c>
      <c r="D13" s="3" t="s">
        <v>92</v>
      </c>
      <c r="E13" s="3" t="s">
        <v>93</v>
      </c>
      <c r="F13" s="3" t="s">
        <v>94</v>
      </c>
      <c r="G13" s="3" t="s">
        <v>95</v>
      </c>
      <c r="H13" s="3" t="s">
        <v>47</v>
      </c>
      <c r="I13">
        <f t="shared" si="0"/>
        <v>67525.34</v>
      </c>
      <c r="J13">
        <f t="shared" si="1"/>
        <v>-67525.34</v>
      </c>
    </row>
    <row r="14" spans="1:10" ht="15" customHeight="1" x14ac:dyDescent="0.2">
      <c r="A14" s="4" t="s">
        <v>96</v>
      </c>
      <c r="B14" s="4" t="s">
        <v>97</v>
      </c>
      <c r="C14" s="4" t="s">
        <v>47</v>
      </c>
      <c r="D14" s="4" t="s">
        <v>47</v>
      </c>
      <c r="E14" s="4" t="s">
        <v>98</v>
      </c>
      <c r="F14" s="4" t="s">
        <v>99</v>
      </c>
      <c r="G14" s="4" t="s">
        <v>100</v>
      </c>
      <c r="H14" s="4" t="s">
        <v>47</v>
      </c>
      <c r="I14">
        <f t="shared" si="0"/>
        <v>621730.39</v>
      </c>
      <c r="J14">
        <f t="shared" si="1"/>
        <v>-621730.39</v>
      </c>
    </row>
    <row r="15" spans="1:10" ht="15" customHeight="1" x14ac:dyDescent="0.2">
      <c r="A15" s="3" t="s">
        <v>101</v>
      </c>
      <c r="B15" s="3" t="s">
        <v>97</v>
      </c>
      <c r="C15" s="3" t="s">
        <v>47</v>
      </c>
      <c r="D15" s="3" t="s">
        <v>47</v>
      </c>
      <c r="E15" s="3" t="s">
        <v>98</v>
      </c>
      <c r="F15" s="3" t="s">
        <v>99</v>
      </c>
      <c r="G15" s="3" t="s">
        <v>102</v>
      </c>
      <c r="H15" s="3" t="s">
        <v>47</v>
      </c>
      <c r="I15">
        <f t="shared" si="0"/>
        <v>608689.63</v>
      </c>
      <c r="J15">
        <f t="shared" si="1"/>
        <v>-608689.63</v>
      </c>
    </row>
    <row r="16" spans="1:10" ht="15" customHeight="1" x14ac:dyDescent="0.2">
      <c r="A16" s="4" t="s">
        <v>103</v>
      </c>
      <c r="B16" s="4" t="s">
        <v>104</v>
      </c>
      <c r="C16" s="4" t="s">
        <v>105</v>
      </c>
      <c r="D16" s="4" t="s">
        <v>106</v>
      </c>
      <c r="E16" s="4" t="s">
        <v>107</v>
      </c>
      <c r="F16" s="4" t="s">
        <v>108</v>
      </c>
      <c r="G16" s="4" t="s">
        <v>109</v>
      </c>
      <c r="H16" s="4" t="s">
        <v>47</v>
      </c>
      <c r="I16">
        <f t="shared" si="0"/>
        <v>578909.38</v>
      </c>
      <c r="J16">
        <f t="shared" si="1"/>
        <v>-578909.38</v>
      </c>
    </row>
    <row r="17" spans="1:10" ht="15" customHeight="1" x14ac:dyDescent="0.2">
      <c r="A17" s="3" t="s">
        <v>110</v>
      </c>
      <c r="B17" s="3" t="s">
        <v>111</v>
      </c>
      <c r="C17" s="3" t="s">
        <v>112</v>
      </c>
      <c r="D17" s="3" t="s">
        <v>113</v>
      </c>
      <c r="E17" s="3" t="s">
        <v>114</v>
      </c>
      <c r="F17" s="3" t="s">
        <v>115</v>
      </c>
      <c r="G17" s="3" t="s">
        <v>116</v>
      </c>
      <c r="H17" s="3" t="s">
        <v>47</v>
      </c>
      <c r="I17">
        <f t="shared" si="0"/>
        <v>29780.25</v>
      </c>
      <c r="J17">
        <f t="shared" si="1"/>
        <v>-29780.25</v>
      </c>
    </row>
    <row r="18" spans="1:10" ht="15" customHeight="1" x14ac:dyDescent="0.2">
      <c r="A18" s="4" t="s">
        <v>117</v>
      </c>
      <c r="B18" s="4" t="s">
        <v>118</v>
      </c>
      <c r="C18" s="4" t="s">
        <v>47</v>
      </c>
      <c r="D18" s="4" t="s">
        <v>47</v>
      </c>
      <c r="E18" s="4" t="s">
        <v>47</v>
      </c>
      <c r="F18" s="4" t="s">
        <v>47</v>
      </c>
      <c r="G18" s="4" t="s">
        <v>119</v>
      </c>
      <c r="H18" s="4" t="s">
        <v>47</v>
      </c>
      <c r="I18">
        <f t="shared" si="0"/>
        <v>13040.76</v>
      </c>
      <c r="J18">
        <f t="shared" si="1"/>
        <v>-13040.76</v>
      </c>
    </row>
    <row r="19" spans="1:10" ht="15" customHeight="1" x14ac:dyDescent="0.2">
      <c r="A19" s="3" t="s">
        <v>120</v>
      </c>
      <c r="B19" s="3" t="s">
        <v>104</v>
      </c>
      <c r="C19" s="3" t="s">
        <v>121</v>
      </c>
      <c r="D19" s="3" t="s">
        <v>122</v>
      </c>
      <c r="E19" s="3" t="s">
        <v>47</v>
      </c>
      <c r="F19" s="3" t="s">
        <v>47</v>
      </c>
      <c r="G19" s="3" t="s">
        <v>119</v>
      </c>
      <c r="H19" s="3" t="s">
        <v>47</v>
      </c>
      <c r="I19">
        <f t="shared" si="0"/>
        <v>13040.76</v>
      </c>
      <c r="J19">
        <f t="shared" si="1"/>
        <v>-13040.76</v>
      </c>
    </row>
    <row r="20" spans="1:10" ht="15" customHeight="1" x14ac:dyDescent="0.2">
      <c r="A20" s="4" t="s">
        <v>123</v>
      </c>
      <c r="B20" s="4" t="s">
        <v>124</v>
      </c>
      <c r="C20" s="4" t="s">
        <v>47</v>
      </c>
      <c r="D20" s="4" t="s">
        <v>47</v>
      </c>
      <c r="E20" s="4" t="s">
        <v>125</v>
      </c>
      <c r="F20" s="4" t="s">
        <v>126</v>
      </c>
      <c r="G20" s="4" t="s">
        <v>127</v>
      </c>
      <c r="H20" s="4" t="s">
        <v>47</v>
      </c>
      <c r="I20">
        <f t="shared" si="0"/>
        <v>4229260.88</v>
      </c>
      <c r="J20">
        <f t="shared" si="1"/>
        <v>-4229260.88</v>
      </c>
    </row>
    <row r="21" spans="1:10" ht="15" customHeight="1" x14ac:dyDescent="0.2">
      <c r="A21" s="3" t="s">
        <v>128</v>
      </c>
      <c r="B21" s="3" t="s">
        <v>129</v>
      </c>
      <c r="C21" s="3" t="s">
        <v>47</v>
      </c>
      <c r="D21" s="3" t="s">
        <v>47</v>
      </c>
      <c r="E21" s="3" t="s">
        <v>130</v>
      </c>
      <c r="F21" s="3" t="s">
        <v>131</v>
      </c>
      <c r="G21" s="3" t="s">
        <v>132</v>
      </c>
      <c r="H21" s="3" t="s">
        <v>47</v>
      </c>
      <c r="I21">
        <f t="shared" si="0"/>
        <v>4240999.2300000004</v>
      </c>
      <c r="J21">
        <f t="shared" si="1"/>
        <v>-4240999.2300000004</v>
      </c>
    </row>
    <row r="22" spans="1:10" ht="15" customHeight="1" x14ac:dyDescent="0.2">
      <c r="A22" s="4" t="s">
        <v>133</v>
      </c>
      <c r="B22" s="4" t="s">
        <v>134</v>
      </c>
      <c r="C22" s="4" t="s">
        <v>135</v>
      </c>
      <c r="D22" s="4" t="s">
        <v>136</v>
      </c>
      <c r="E22" s="4" t="s">
        <v>47</v>
      </c>
      <c r="F22" s="4" t="s">
        <v>137</v>
      </c>
      <c r="G22" s="4" t="s">
        <v>47</v>
      </c>
      <c r="H22" s="4" t="s">
        <v>47</v>
      </c>
      <c r="I22">
        <f t="shared" si="0"/>
        <v>0</v>
      </c>
      <c r="J22">
        <f t="shared" si="1"/>
        <v>0</v>
      </c>
    </row>
    <row r="23" spans="1:10" ht="15" customHeight="1" x14ac:dyDescent="0.2">
      <c r="A23" s="3" t="s">
        <v>138</v>
      </c>
      <c r="B23" s="3" t="s">
        <v>139</v>
      </c>
      <c r="C23" s="3" t="s">
        <v>140</v>
      </c>
      <c r="D23" s="3" t="s">
        <v>141</v>
      </c>
      <c r="E23" s="3" t="s">
        <v>47</v>
      </c>
      <c r="F23" s="3" t="s">
        <v>142</v>
      </c>
      <c r="G23" s="3" t="s">
        <v>143</v>
      </c>
      <c r="H23" s="3" t="s">
        <v>47</v>
      </c>
      <c r="I23">
        <f t="shared" si="0"/>
        <v>4284.66</v>
      </c>
      <c r="J23">
        <f t="shared" si="1"/>
        <v>-4284.66</v>
      </c>
    </row>
    <row r="24" spans="1:10" ht="15" customHeight="1" x14ac:dyDescent="0.2">
      <c r="A24" s="4" t="s">
        <v>144</v>
      </c>
      <c r="B24" s="4" t="s">
        <v>145</v>
      </c>
      <c r="C24" s="4" t="s">
        <v>146</v>
      </c>
      <c r="D24" s="4" t="s">
        <v>147</v>
      </c>
      <c r="E24" s="4" t="s">
        <v>148</v>
      </c>
      <c r="F24" s="4" t="s">
        <v>149</v>
      </c>
      <c r="G24" s="4" t="s">
        <v>150</v>
      </c>
      <c r="H24" s="4" t="s">
        <v>47</v>
      </c>
      <c r="I24">
        <f t="shared" si="0"/>
        <v>25639.48</v>
      </c>
      <c r="J24">
        <f t="shared" si="1"/>
        <v>-25639.48</v>
      </c>
    </row>
    <row r="25" spans="1:10" ht="15" customHeight="1" x14ac:dyDescent="0.2">
      <c r="A25" s="3" t="s">
        <v>151</v>
      </c>
      <c r="B25" s="3" t="s">
        <v>152</v>
      </c>
      <c r="C25" s="3" t="s">
        <v>153</v>
      </c>
      <c r="D25" s="3" t="s">
        <v>154</v>
      </c>
      <c r="E25" s="3" t="s">
        <v>47</v>
      </c>
      <c r="F25" s="3" t="s">
        <v>155</v>
      </c>
      <c r="G25" s="3" t="s">
        <v>156</v>
      </c>
      <c r="H25" s="3" t="s">
        <v>47</v>
      </c>
      <c r="I25">
        <f t="shared" si="0"/>
        <v>5745.4</v>
      </c>
      <c r="J25">
        <f t="shared" si="1"/>
        <v>-5745.4</v>
      </c>
    </row>
    <row r="26" spans="1:10" ht="15" customHeight="1" x14ac:dyDescent="0.2">
      <c r="A26" s="4" t="s">
        <v>157</v>
      </c>
      <c r="B26" s="4" t="s">
        <v>158</v>
      </c>
      <c r="C26" s="4" t="s">
        <v>159</v>
      </c>
      <c r="D26" s="4" t="s">
        <v>160</v>
      </c>
      <c r="E26" s="4" t="s">
        <v>47</v>
      </c>
      <c r="F26" s="4" t="s">
        <v>47</v>
      </c>
      <c r="G26" s="4" t="s">
        <v>161</v>
      </c>
      <c r="H26" s="4" t="s">
        <v>47</v>
      </c>
      <c r="I26">
        <f t="shared" si="0"/>
        <v>2483.2399999999998</v>
      </c>
      <c r="J26">
        <f t="shared" si="1"/>
        <v>-2483.2399999999998</v>
      </c>
    </row>
    <row r="27" spans="1:10" ht="15" customHeight="1" x14ac:dyDescent="0.2">
      <c r="A27" s="3" t="s">
        <v>162</v>
      </c>
      <c r="B27" s="3" t="s">
        <v>163</v>
      </c>
      <c r="C27" s="3" t="s">
        <v>164</v>
      </c>
      <c r="D27" s="3" t="s">
        <v>165</v>
      </c>
      <c r="E27" s="3" t="s">
        <v>166</v>
      </c>
      <c r="F27" s="3" t="s">
        <v>167</v>
      </c>
      <c r="G27" s="3" t="s">
        <v>168</v>
      </c>
      <c r="H27" s="3" t="s">
        <v>47</v>
      </c>
      <c r="I27">
        <f t="shared" si="0"/>
        <v>5151.96</v>
      </c>
      <c r="J27">
        <f t="shared" si="1"/>
        <v>-5151.96</v>
      </c>
    </row>
    <row r="28" spans="1:10" ht="15" customHeight="1" x14ac:dyDescent="0.2">
      <c r="A28" s="4" t="s">
        <v>169</v>
      </c>
      <c r="B28" s="4" t="s">
        <v>170</v>
      </c>
      <c r="C28" s="4" t="s">
        <v>171</v>
      </c>
      <c r="D28" s="4" t="s">
        <v>172</v>
      </c>
      <c r="E28" s="4" t="s">
        <v>173</v>
      </c>
      <c r="F28" s="4" t="s">
        <v>174</v>
      </c>
      <c r="G28" s="4" t="s">
        <v>175</v>
      </c>
      <c r="H28" s="4" t="s">
        <v>47</v>
      </c>
      <c r="I28">
        <f t="shared" si="0"/>
        <v>20207.93</v>
      </c>
      <c r="J28">
        <f t="shared" si="1"/>
        <v>-20207.93</v>
      </c>
    </row>
    <row r="29" spans="1:10" ht="15" customHeight="1" x14ac:dyDescent="0.2">
      <c r="A29" s="3" t="s">
        <v>176</v>
      </c>
      <c r="B29" s="3" t="s">
        <v>177</v>
      </c>
      <c r="C29" s="3" t="s">
        <v>178</v>
      </c>
      <c r="D29" s="3" t="s">
        <v>179</v>
      </c>
      <c r="E29" s="3" t="s">
        <v>180</v>
      </c>
      <c r="F29" s="3" t="s">
        <v>181</v>
      </c>
      <c r="G29" s="3" t="s">
        <v>182</v>
      </c>
      <c r="H29" s="3" t="s">
        <v>47</v>
      </c>
      <c r="I29">
        <f t="shared" si="0"/>
        <v>43991.8</v>
      </c>
      <c r="J29">
        <f t="shared" si="1"/>
        <v>-43991.8</v>
      </c>
    </row>
    <row r="30" spans="1:10" ht="15" customHeight="1" x14ac:dyDescent="0.2">
      <c r="A30" s="4" t="s">
        <v>183</v>
      </c>
      <c r="B30" s="4" t="s">
        <v>184</v>
      </c>
      <c r="C30" s="4" t="s">
        <v>185</v>
      </c>
      <c r="D30" s="4" t="s">
        <v>185</v>
      </c>
      <c r="E30" s="4" t="s">
        <v>80</v>
      </c>
      <c r="F30" s="4" t="s">
        <v>80</v>
      </c>
      <c r="G30" s="4" t="s">
        <v>47</v>
      </c>
      <c r="H30" s="4" t="s">
        <v>47</v>
      </c>
      <c r="I30">
        <f t="shared" si="0"/>
        <v>0</v>
      </c>
      <c r="J30">
        <f t="shared" si="1"/>
        <v>0</v>
      </c>
    </row>
    <row r="31" spans="1:10" ht="15" customHeight="1" x14ac:dyDescent="0.2">
      <c r="A31" s="3" t="s">
        <v>186</v>
      </c>
      <c r="B31" s="3" t="s">
        <v>187</v>
      </c>
      <c r="C31" s="3" t="s">
        <v>188</v>
      </c>
      <c r="D31" s="3" t="s">
        <v>189</v>
      </c>
      <c r="E31" s="3" t="s">
        <v>47</v>
      </c>
      <c r="F31" s="3" t="s">
        <v>190</v>
      </c>
      <c r="G31" s="3" t="s">
        <v>190</v>
      </c>
      <c r="H31" s="3" t="s">
        <v>47</v>
      </c>
      <c r="I31">
        <f t="shared" si="0"/>
        <v>1280</v>
      </c>
      <c r="J31">
        <f t="shared" si="1"/>
        <v>-1280</v>
      </c>
    </row>
    <row r="32" spans="1:10" ht="15" customHeight="1" x14ac:dyDescent="0.2">
      <c r="A32" s="4" t="s">
        <v>191</v>
      </c>
      <c r="B32" s="4" t="s">
        <v>192</v>
      </c>
      <c r="C32" s="4" t="s">
        <v>193</v>
      </c>
      <c r="D32" s="4" t="s">
        <v>193</v>
      </c>
      <c r="E32" s="4" t="s">
        <v>194</v>
      </c>
      <c r="F32" s="4" t="s">
        <v>194</v>
      </c>
      <c r="G32" s="4" t="s">
        <v>47</v>
      </c>
      <c r="H32" s="4" t="s">
        <v>47</v>
      </c>
      <c r="I32">
        <f t="shared" si="0"/>
        <v>0</v>
      </c>
      <c r="J32">
        <f t="shared" si="1"/>
        <v>0</v>
      </c>
    </row>
    <row r="33" spans="1:10" ht="15" customHeight="1" x14ac:dyDescent="0.2">
      <c r="A33" s="3" t="s">
        <v>195</v>
      </c>
      <c r="B33" s="3" t="s">
        <v>196</v>
      </c>
      <c r="C33" s="3" t="s">
        <v>197</v>
      </c>
      <c r="D33" s="3" t="s">
        <v>198</v>
      </c>
      <c r="E33" s="3" t="s">
        <v>199</v>
      </c>
      <c r="F33" s="3" t="s">
        <v>200</v>
      </c>
      <c r="G33" s="3" t="s">
        <v>201</v>
      </c>
      <c r="H33" s="3" t="s">
        <v>47</v>
      </c>
      <c r="I33">
        <f t="shared" si="0"/>
        <v>46937.57</v>
      </c>
      <c r="J33">
        <f t="shared" si="1"/>
        <v>-46937.57</v>
      </c>
    </row>
    <row r="34" spans="1:10" ht="15" customHeight="1" x14ac:dyDescent="0.2">
      <c r="A34" s="4" t="s">
        <v>202</v>
      </c>
      <c r="B34" s="4" t="s">
        <v>203</v>
      </c>
      <c r="C34" s="4" t="s">
        <v>204</v>
      </c>
      <c r="D34" s="4" t="s">
        <v>205</v>
      </c>
      <c r="E34" s="4" t="s">
        <v>206</v>
      </c>
      <c r="F34" s="4" t="s">
        <v>207</v>
      </c>
      <c r="G34" s="4" t="s">
        <v>206</v>
      </c>
      <c r="H34" s="4" t="s">
        <v>47</v>
      </c>
      <c r="I34">
        <f t="shared" si="0"/>
        <v>883.95</v>
      </c>
      <c r="J34">
        <f t="shared" si="1"/>
        <v>-883.95</v>
      </c>
    </row>
    <row r="35" spans="1:10" ht="15" customHeight="1" x14ac:dyDescent="0.2">
      <c r="A35" s="3" t="s">
        <v>208</v>
      </c>
      <c r="B35" s="3" t="s">
        <v>209</v>
      </c>
      <c r="C35" s="3" t="s">
        <v>210</v>
      </c>
      <c r="D35" s="3" t="s">
        <v>211</v>
      </c>
      <c r="E35" s="3" t="s">
        <v>212</v>
      </c>
      <c r="F35" s="3" t="s">
        <v>213</v>
      </c>
      <c r="G35" s="3" t="s">
        <v>214</v>
      </c>
      <c r="H35" s="3" t="s">
        <v>47</v>
      </c>
      <c r="I35">
        <f t="shared" si="0"/>
        <v>6614.99</v>
      </c>
      <c r="J35">
        <f t="shared" si="1"/>
        <v>-6614.99</v>
      </c>
    </row>
    <row r="36" spans="1:10" ht="15" customHeight="1" x14ac:dyDescent="0.2">
      <c r="A36" s="4" t="s">
        <v>215</v>
      </c>
      <c r="B36" s="4" t="s">
        <v>216</v>
      </c>
      <c r="C36" s="4" t="s">
        <v>217</v>
      </c>
      <c r="D36" s="4" t="s">
        <v>218</v>
      </c>
      <c r="E36" s="4" t="s">
        <v>219</v>
      </c>
      <c r="F36" s="4" t="s">
        <v>220</v>
      </c>
      <c r="G36" s="4" t="s">
        <v>221</v>
      </c>
      <c r="H36" s="4" t="s">
        <v>47</v>
      </c>
      <c r="I36">
        <f t="shared" si="0"/>
        <v>14685.48</v>
      </c>
      <c r="J36">
        <f t="shared" si="1"/>
        <v>-14685.48</v>
      </c>
    </row>
    <row r="37" spans="1:10" ht="15" customHeight="1" x14ac:dyDescent="0.2">
      <c r="A37" s="3" t="s">
        <v>222</v>
      </c>
      <c r="B37" s="3" t="s">
        <v>223</v>
      </c>
      <c r="C37" s="3" t="s">
        <v>224</v>
      </c>
      <c r="D37" s="3" t="s">
        <v>225</v>
      </c>
      <c r="E37" s="3" t="s">
        <v>47</v>
      </c>
      <c r="F37" s="3" t="s">
        <v>47</v>
      </c>
      <c r="G37" s="3" t="s">
        <v>226</v>
      </c>
      <c r="H37" s="3" t="s">
        <v>47</v>
      </c>
      <c r="I37">
        <f t="shared" si="0"/>
        <v>3471.97</v>
      </c>
      <c r="J37">
        <f t="shared" si="1"/>
        <v>-3471.97</v>
      </c>
    </row>
    <row r="38" spans="1:10" ht="15" customHeight="1" x14ac:dyDescent="0.2">
      <c r="A38" s="4" t="s">
        <v>227</v>
      </c>
      <c r="B38" s="4" t="s">
        <v>228</v>
      </c>
      <c r="C38" s="4" t="s">
        <v>229</v>
      </c>
      <c r="D38" s="4" t="s">
        <v>230</v>
      </c>
      <c r="E38" s="4" t="s">
        <v>47</v>
      </c>
      <c r="F38" s="4" t="s">
        <v>231</v>
      </c>
      <c r="G38" s="4" t="s">
        <v>47</v>
      </c>
      <c r="H38" s="4" t="s">
        <v>47</v>
      </c>
      <c r="I38">
        <f t="shared" si="0"/>
        <v>0</v>
      </c>
      <c r="J38">
        <f t="shared" si="1"/>
        <v>0</v>
      </c>
    </row>
    <row r="39" spans="1:10" ht="15" customHeight="1" x14ac:dyDescent="0.2">
      <c r="A39" s="3" t="s">
        <v>232</v>
      </c>
      <c r="B39" s="3" t="s">
        <v>233</v>
      </c>
      <c r="C39" s="3" t="s">
        <v>234</v>
      </c>
      <c r="D39" s="3" t="s">
        <v>235</v>
      </c>
      <c r="E39" s="3" t="s">
        <v>47</v>
      </c>
      <c r="F39" s="3" t="s">
        <v>236</v>
      </c>
      <c r="G39" s="3" t="s">
        <v>237</v>
      </c>
      <c r="H39" s="3" t="s">
        <v>47</v>
      </c>
      <c r="I39">
        <f t="shared" si="0"/>
        <v>7005.87</v>
      </c>
      <c r="J39">
        <f t="shared" si="1"/>
        <v>-7005.87</v>
      </c>
    </row>
    <row r="40" spans="1:10" ht="15" customHeight="1" x14ac:dyDescent="0.2">
      <c r="A40" s="4" t="s">
        <v>238</v>
      </c>
      <c r="B40" s="4" t="s">
        <v>239</v>
      </c>
      <c r="C40" s="4" t="s">
        <v>240</v>
      </c>
      <c r="D40" s="4" t="s">
        <v>241</v>
      </c>
      <c r="E40" s="4" t="s">
        <v>242</v>
      </c>
      <c r="F40" s="4" t="s">
        <v>243</v>
      </c>
      <c r="G40" s="4" t="s">
        <v>244</v>
      </c>
      <c r="H40" s="4" t="s">
        <v>47</v>
      </c>
      <c r="I40">
        <f t="shared" si="0"/>
        <v>81650.55</v>
      </c>
      <c r="J40">
        <f t="shared" si="1"/>
        <v>-81650.55</v>
      </c>
    </row>
    <row r="41" spans="1:10" ht="15" customHeight="1" x14ac:dyDescent="0.2">
      <c r="A41" s="3" t="s">
        <v>245</v>
      </c>
      <c r="B41" s="3" t="s">
        <v>246</v>
      </c>
      <c r="C41" s="3" t="s">
        <v>247</v>
      </c>
      <c r="D41" s="3" t="s">
        <v>248</v>
      </c>
      <c r="E41" s="3" t="s">
        <v>249</v>
      </c>
      <c r="F41" s="3" t="s">
        <v>250</v>
      </c>
      <c r="G41" s="3" t="s">
        <v>251</v>
      </c>
      <c r="H41" s="3" t="s">
        <v>47</v>
      </c>
      <c r="I41">
        <f t="shared" si="0"/>
        <v>7622.54</v>
      </c>
      <c r="J41">
        <f t="shared" si="1"/>
        <v>-7622.54</v>
      </c>
    </row>
    <row r="42" spans="1:10" ht="15" customHeight="1" x14ac:dyDescent="0.2">
      <c r="A42" s="4" t="s">
        <v>252</v>
      </c>
      <c r="B42" s="4" t="s">
        <v>253</v>
      </c>
      <c r="C42" s="4" t="s">
        <v>254</v>
      </c>
      <c r="D42" s="4" t="s">
        <v>255</v>
      </c>
      <c r="E42" s="4" t="s">
        <v>256</v>
      </c>
      <c r="F42" s="4" t="s">
        <v>257</v>
      </c>
      <c r="G42" s="4" t="s">
        <v>258</v>
      </c>
      <c r="H42" s="4" t="s">
        <v>47</v>
      </c>
      <c r="I42">
        <f t="shared" si="0"/>
        <v>16375.54</v>
      </c>
      <c r="J42">
        <f t="shared" si="1"/>
        <v>-16375.54</v>
      </c>
    </row>
    <row r="43" spans="1:10" ht="15" customHeight="1" x14ac:dyDescent="0.2">
      <c r="A43" s="3" t="s">
        <v>259</v>
      </c>
      <c r="B43" s="3" t="s">
        <v>260</v>
      </c>
      <c r="C43" s="3" t="s">
        <v>261</v>
      </c>
      <c r="D43" s="3" t="s">
        <v>261</v>
      </c>
      <c r="E43" s="3" t="s">
        <v>262</v>
      </c>
      <c r="F43" s="3" t="s">
        <v>47</v>
      </c>
      <c r="G43" s="3" t="s">
        <v>262</v>
      </c>
      <c r="H43" s="3" t="s">
        <v>47</v>
      </c>
      <c r="I43">
        <f t="shared" si="0"/>
        <v>1112.1300000000001</v>
      </c>
      <c r="J43">
        <f t="shared" si="1"/>
        <v>-1112.1300000000001</v>
      </c>
    </row>
    <row r="44" spans="1:10" ht="15" customHeight="1" x14ac:dyDescent="0.2">
      <c r="A44" s="4" t="s">
        <v>263</v>
      </c>
      <c r="B44" s="4" t="s">
        <v>264</v>
      </c>
      <c r="C44" s="4" t="s">
        <v>265</v>
      </c>
      <c r="D44" s="4" t="s">
        <v>266</v>
      </c>
      <c r="E44" s="4" t="s">
        <v>267</v>
      </c>
      <c r="F44" s="4" t="s">
        <v>268</v>
      </c>
      <c r="G44" s="4" t="s">
        <v>269</v>
      </c>
      <c r="H44" s="4" t="s">
        <v>47</v>
      </c>
      <c r="I44">
        <f t="shared" si="0"/>
        <v>141901.6</v>
      </c>
      <c r="J44">
        <f t="shared" si="1"/>
        <v>-141901.6</v>
      </c>
    </row>
    <row r="45" spans="1:10" ht="15" customHeight="1" x14ac:dyDescent="0.2">
      <c r="A45" s="3" t="s">
        <v>270</v>
      </c>
      <c r="B45" s="3" t="s">
        <v>271</v>
      </c>
      <c r="C45" s="3" t="s">
        <v>272</v>
      </c>
      <c r="D45" s="3" t="s">
        <v>273</v>
      </c>
      <c r="E45" s="3" t="s">
        <v>47</v>
      </c>
      <c r="F45" s="3" t="s">
        <v>47</v>
      </c>
      <c r="G45" s="3" t="s">
        <v>274</v>
      </c>
      <c r="H45" s="3" t="s">
        <v>47</v>
      </c>
      <c r="I45">
        <f t="shared" si="0"/>
        <v>2765.65</v>
      </c>
      <c r="J45">
        <f t="shared" si="1"/>
        <v>-2765.65</v>
      </c>
    </row>
    <row r="46" spans="1:10" ht="15" customHeight="1" x14ac:dyDescent="0.2">
      <c r="A46" s="4" t="s">
        <v>275</v>
      </c>
      <c r="B46" s="4" t="s">
        <v>276</v>
      </c>
      <c r="C46" s="4" t="s">
        <v>277</v>
      </c>
      <c r="D46" s="4" t="s">
        <v>278</v>
      </c>
      <c r="E46" s="4" t="s">
        <v>47</v>
      </c>
      <c r="F46" s="4" t="s">
        <v>279</v>
      </c>
      <c r="G46" s="4" t="s">
        <v>280</v>
      </c>
      <c r="H46" s="4" t="s">
        <v>47</v>
      </c>
      <c r="I46">
        <f t="shared" si="0"/>
        <v>1583.18</v>
      </c>
      <c r="J46">
        <f t="shared" si="1"/>
        <v>-1583.18</v>
      </c>
    </row>
    <row r="47" spans="1:10" ht="15" customHeight="1" x14ac:dyDescent="0.2">
      <c r="A47" s="3" t="s">
        <v>281</v>
      </c>
      <c r="B47" s="3" t="s">
        <v>282</v>
      </c>
      <c r="C47" s="3" t="s">
        <v>283</v>
      </c>
      <c r="D47" s="3" t="s">
        <v>284</v>
      </c>
      <c r="E47" s="3" t="s">
        <v>285</v>
      </c>
      <c r="F47" s="3" t="s">
        <v>286</v>
      </c>
      <c r="G47" s="3" t="s">
        <v>287</v>
      </c>
      <c r="H47" s="3" t="s">
        <v>47</v>
      </c>
      <c r="I47">
        <f t="shared" si="0"/>
        <v>1597.93</v>
      </c>
      <c r="J47">
        <f t="shared" si="1"/>
        <v>-1597.93</v>
      </c>
    </row>
    <row r="48" spans="1:10" ht="15" customHeight="1" x14ac:dyDescent="0.2">
      <c r="A48" s="4" t="s">
        <v>288</v>
      </c>
      <c r="B48" s="4" t="s">
        <v>289</v>
      </c>
      <c r="C48" s="4" t="s">
        <v>290</v>
      </c>
      <c r="D48" s="4" t="s">
        <v>291</v>
      </c>
      <c r="E48" s="4" t="s">
        <v>47</v>
      </c>
      <c r="F48" s="4" t="s">
        <v>47</v>
      </c>
      <c r="G48" s="4" t="s">
        <v>292</v>
      </c>
      <c r="H48" s="4" t="s">
        <v>47</v>
      </c>
      <c r="I48">
        <f t="shared" si="0"/>
        <v>5688.93</v>
      </c>
      <c r="J48">
        <f t="shared" si="1"/>
        <v>-5688.93</v>
      </c>
    </row>
    <row r="49" spans="1:10" ht="15" customHeight="1" x14ac:dyDescent="0.2">
      <c r="A49" s="3" t="s">
        <v>293</v>
      </c>
      <c r="B49" s="3" t="s">
        <v>294</v>
      </c>
      <c r="C49" s="3" t="s">
        <v>295</v>
      </c>
      <c r="D49" s="3" t="s">
        <v>296</v>
      </c>
      <c r="E49" s="3" t="s">
        <v>47</v>
      </c>
      <c r="F49" s="3" t="s">
        <v>297</v>
      </c>
      <c r="G49" s="3" t="s">
        <v>298</v>
      </c>
      <c r="H49" s="3" t="s">
        <v>47</v>
      </c>
      <c r="I49">
        <f t="shared" si="0"/>
        <v>18666.669999999998</v>
      </c>
      <c r="J49">
        <f t="shared" si="1"/>
        <v>-18666.669999999998</v>
      </c>
    </row>
    <row r="50" spans="1:10" ht="15" customHeight="1" x14ac:dyDescent="0.2">
      <c r="A50" s="4" t="s">
        <v>299</v>
      </c>
      <c r="B50" s="4" t="s">
        <v>300</v>
      </c>
      <c r="C50" s="4" t="s">
        <v>301</v>
      </c>
      <c r="D50" s="4" t="s">
        <v>302</v>
      </c>
      <c r="E50" s="4" t="s">
        <v>47</v>
      </c>
      <c r="F50" s="4" t="s">
        <v>47</v>
      </c>
      <c r="G50" s="4" t="s">
        <v>303</v>
      </c>
      <c r="H50" s="4" t="s">
        <v>47</v>
      </c>
      <c r="I50">
        <f t="shared" si="0"/>
        <v>2100.37</v>
      </c>
      <c r="J50">
        <f t="shared" si="1"/>
        <v>-2100.37</v>
      </c>
    </row>
    <row r="51" spans="1:10" ht="15" customHeight="1" x14ac:dyDescent="0.2">
      <c r="A51" s="3" t="s">
        <v>304</v>
      </c>
      <c r="B51" s="3" t="s">
        <v>305</v>
      </c>
      <c r="C51" s="3" t="s">
        <v>306</v>
      </c>
      <c r="D51" s="3" t="s">
        <v>307</v>
      </c>
      <c r="E51" s="3" t="s">
        <v>308</v>
      </c>
      <c r="F51" s="3" t="s">
        <v>309</v>
      </c>
      <c r="G51" s="3" t="s">
        <v>310</v>
      </c>
      <c r="H51" s="3" t="s">
        <v>47</v>
      </c>
      <c r="I51">
        <f t="shared" si="0"/>
        <v>289.87</v>
      </c>
      <c r="J51">
        <f t="shared" si="1"/>
        <v>-289.87</v>
      </c>
    </row>
    <row r="52" spans="1:10" ht="15" customHeight="1" x14ac:dyDescent="0.2">
      <c r="A52" s="4" t="s">
        <v>311</v>
      </c>
      <c r="B52" s="4" t="s">
        <v>312</v>
      </c>
      <c r="C52" s="4" t="s">
        <v>313</v>
      </c>
      <c r="D52" s="4" t="s">
        <v>314</v>
      </c>
      <c r="E52" s="4" t="s">
        <v>315</v>
      </c>
      <c r="F52" s="4" t="s">
        <v>316</v>
      </c>
      <c r="G52" s="4" t="s">
        <v>315</v>
      </c>
      <c r="H52" s="4" t="s">
        <v>47</v>
      </c>
      <c r="I52">
        <f t="shared" si="0"/>
        <v>2948.25</v>
      </c>
      <c r="J52">
        <f t="shared" si="1"/>
        <v>-2948.25</v>
      </c>
    </row>
    <row r="53" spans="1:10" ht="15" customHeight="1" x14ac:dyDescent="0.2">
      <c r="A53" s="3" t="s">
        <v>317</v>
      </c>
      <c r="B53" s="3" t="s">
        <v>318</v>
      </c>
      <c r="C53" s="3" t="s">
        <v>319</v>
      </c>
      <c r="D53" s="3" t="s">
        <v>320</v>
      </c>
      <c r="E53" s="3" t="s">
        <v>47</v>
      </c>
      <c r="F53" s="3" t="s">
        <v>321</v>
      </c>
      <c r="G53" s="3" t="s">
        <v>322</v>
      </c>
      <c r="H53" s="3" t="s">
        <v>47</v>
      </c>
      <c r="I53">
        <f t="shared" si="0"/>
        <v>1650.94</v>
      </c>
      <c r="J53">
        <f t="shared" si="1"/>
        <v>-1650.94</v>
      </c>
    </row>
    <row r="54" spans="1:10" ht="15" customHeight="1" x14ac:dyDescent="0.2">
      <c r="A54" s="4" t="s">
        <v>323</v>
      </c>
      <c r="B54" s="4" t="s">
        <v>324</v>
      </c>
      <c r="C54" s="4" t="s">
        <v>325</v>
      </c>
      <c r="D54" s="4" t="s">
        <v>326</v>
      </c>
      <c r="E54" s="4" t="s">
        <v>47</v>
      </c>
      <c r="F54" s="4" t="s">
        <v>327</v>
      </c>
      <c r="G54" s="4" t="s">
        <v>47</v>
      </c>
      <c r="H54" s="4" t="s">
        <v>47</v>
      </c>
      <c r="I54">
        <f t="shared" si="0"/>
        <v>0</v>
      </c>
      <c r="J54">
        <f t="shared" si="1"/>
        <v>0</v>
      </c>
    </row>
    <row r="55" spans="1:10" ht="15" customHeight="1" x14ac:dyDescent="0.2">
      <c r="A55" s="3" t="s">
        <v>328</v>
      </c>
      <c r="B55" s="3" t="s">
        <v>329</v>
      </c>
      <c r="C55" s="3" t="s">
        <v>330</v>
      </c>
      <c r="D55" s="3" t="s">
        <v>331</v>
      </c>
      <c r="E55" s="3" t="s">
        <v>47</v>
      </c>
      <c r="F55" s="3" t="s">
        <v>47</v>
      </c>
      <c r="G55" s="3" t="s">
        <v>332</v>
      </c>
      <c r="H55" s="3" t="s">
        <v>47</v>
      </c>
      <c r="I55">
        <f t="shared" si="0"/>
        <v>0.02</v>
      </c>
      <c r="J55">
        <f t="shared" si="1"/>
        <v>-0.02</v>
      </c>
    </row>
    <row r="56" spans="1:10" ht="15" customHeight="1" x14ac:dyDescent="0.2">
      <c r="A56" s="4" t="s">
        <v>333</v>
      </c>
      <c r="B56" s="4" t="s">
        <v>334</v>
      </c>
      <c r="C56" s="4" t="s">
        <v>335</v>
      </c>
      <c r="D56" s="4" t="s">
        <v>336</v>
      </c>
      <c r="E56" s="4" t="s">
        <v>47</v>
      </c>
      <c r="F56" s="4" t="s">
        <v>47</v>
      </c>
      <c r="G56" s="4" t="s">
        <v>337</v>
      </c>
      <c r="H56" s="4" t="s">
        <v>47</v>
      </c>
      <c r="I56">
        <f t="shared" si="0"/>
        <v>300</v>
      </c>
      <c r="J56">
        <f t="shared" si="1"/>
        <v>-300</v>
      </c>
    </row>
    <row r="57" spans="1:10" ht="15" customHeight="1" x14ac:dyDescent="0.2">
      <c r="A57" s="3" t="s">
        <v>338</v>
      </c>
      <c r="B57" s="3" t="s">
        <v>339</v>
      </c>
      <c r="C57" s="3" t="s">
        <v>340</v>
      </c>
      <c r="D57" s="3" t="s">
        <v>341</v>
      </c>
      <c r="E57" s="3" t="s">
        <v>47</v>
      </c>
      <c r="F57" s="3" t="s">
        <v>47</v>
      </c>
      <c r="G57" s="3" t="s">
        <v>342</v>
      </c>
      <c r="H57" s="3" t="s">
        <v>47</v>
      </c>
      <c r="I57">
        <f t="shared" si="0"/>
        <v>209.8</v>
      </c>
      <c r="J57">
        <f t="shared" si="1"/>
        <v>-209.8</v>
      </c>
    </row>
    <row r="58" spans="1:10" ht="15" customHeight="1" x14ac:dyDescent="0.2">
      <c r="A58" s="4" t="s">
        <v>343</v>
      </c>
      <c r="B58" s="4" t="s">
        <v>344</v>
      </c>
      <c r="C58" s="4" t="s">
        <v>345</v>
      </c>
      <c r="D58" s="4" t="s">
        <v>345</v>
      </c>
      <c r="E58" s="4" t="s">
        <v>346</v>
      </c>
      <c r="F58" s="4" t="s">
        <v>346</v>
      </c>
      <c r="G58" s="4" t="s">
        <v>47</v>
      </c>
      <c r="H58" s="4" t="s">
        <v>47</v>
      </c>
      <c r="I58">
        <f t="shared" si="0"/>
        <v>0</v>
      </c>
      <c r="J58">
        <f t="shared" si="1"/>
        <v>0</v>
      </c>
    </row>
    <row r="59" spans="1:10" ht="15" customHeight="1" x14ac:dyDescent="0.2">
      <c r="A59" s="3" t="s">
        <v>347</v>
      </c>
      <c r="B59" s="3" t="s">
        <v>348</v>
      </c>
      <c r="C59" s="3" t="s">
        <v>349</v>
      </c>
      <c r="D59" s="3" t="s">
        <v>350</v>
      </c>
      <c r="E59" s="3" t="s">
        <v>47</v>
      </c>
      <c r="F59" s="3" t="s">
        <v>47</v>
      </c>
      <c r="G59" s="3" t="s">
        <v>351</v>
      </c>
      <c r="H59" s="3" t="s">
        <v>47</v>
      </c>
      <c r="I59">
        <f t="shared" si="0"/>
        <v>886.39</v>
      </c>
      <c r="J59">
        <f t="shared" si="1"/>
        <v>-886.39</v>
      </c>
    </row>
    <row r="60" spans="1:10" ht="15" customHeight="1" x14ac:dyDescent="0.2">
      <c r="A60" s="4" t="s">
        <v>352</v>
      </c>
      <c r="B60" s="4" t="s">
        <v>233</v>
      </c>
      <c r="C60" s="4" t="s">
        <v>353</v>
      </c>
      <c r="D60" s="4" t="s">
        <v>354</v>
      </c>
      <c r="E60" s="4" t="s">
        <v>47</v>
      </c>
      <c r="F60" s="4" t="s">
        <v>355</v>
      </c>
      <c r="G60" s="4" t="s">
        <v>356</v>
      </c>
      <c r="H60" s="4" t="s">
        <v>47</v>
      </c>
      <c r="I60">
        <f t="shared" si="0"/>
        <v>4575</v>
      </c>
      <c r="J60">
        <f t="shared" si="1"/>
        <v>-4575</v>
      </c>
    </row>
    <row r="61" spans="1:10" ht="15" customHeight="1" x14ac:dyDescent="0.2">
      <c r="A61" s="3" t="s">
        <v>357</v>
      </c>
      <c r="B61" s="3" t="s">
        <v>358</v>
      </c>
      <c r="C61" s="3" t="s">
        <v>359</v>
      </c>
      <c r="D61" s="3" t="s">
        <v>360</v>
      </c>
      <c r="E61" s="3" t="s">
        <v>47</v>
      </c>
      <c r="F61" s="3" t="s">
        <v>361</v>
      </c>
      <c r="G61" s="3" t="s">
        <v>47</v>
      </c>
      <c r="H61" s="3" t="s">
        <v>47</v>
      </c>
      <c r="I61">
        <f t="shared" si="0"/>
        <v>0</v>
      </c>
      <c r="J61">
        <f t="shared" si="1"/>
        <v>0</v>
      </c>
    </row>
    <row r="62" spans="1:10" ht="15" customHeight="1" x14ac:dyDescent="0.2">
      <c r="A62" s="4" t="s">
        <v>362</v>
      </c>
      <c r="B62" s="4" t="s">
        <v>363</v>
      </c>
      <c r="C62" s="4" t="s">
        <v>364</v>
      </c>
      <c r="D62" s="4" t="s">
        <v>365</v>
      </c>
      <c r="E62" s="4" t="s">
        <v>366</v>
      </c>
      <c r="F62" s="4" t="s">
        <v>367</v>
      </c>
      <c r="G62" s="4" t="s">
        <v>368</v>
      </c>
      <c r="H62" s="4" t="s">
        <v>47</v>
      </c>
      <c r="I62">
        <f t="shared" si="0"/>
        <v>2481.56</v>
      </c>
      <c r="J62">
        <f t="shared" si="1"/>
        <v>-2481.56</v>
      </c>
    </row>
    <row r="63" spans="1:10" ht="15" customHeight="1" x14ac:dyDescent="0.2">
      <c r="A63" s="3" t="s">
        <v>369</v>
      </c>
      <c r="B63" s="3" t="s">
        <v>370</v>
      </c>
      <c r="C63" s="3" t="s">
        <v>371</v>
      </c>
      <c r="D63" s="3" t="s">
        <v>372</v>
      </c>
      <c r="E63" s="3" t="s">
        <v>47</v>
      </c>
      <c r="F63" s="3" t="s">
        <v>47</v>
      </c>
      <c r="G63" s="3" t="s">
        <v>373</v>
      </c>
      <c r="H63" s="3" t="s">
        <v>47</v>
      </c>
      <c r="I63">
        <f t="shared" si="0"/>
        <v>14268.41</v>
      </c>
      <c r="J63">
        <f t="shared" si="1"/>
        <v>-14268.41</v>
      </c>
    </row>
    <row r="64" spans="1:10" ht="15" customHeight="1" x14ac:dyDescent="0.2">
      <c r="A64" s="4" t="s">
        <v>374</v>
      </c>
      <c r="B64" s="4" t="s">
        <v>375</v>
      </c>
      <c r="C64" s="4" t="s">
        <v>376</v>
      </c>
      <c r="D64" s="4" t="s">
        <v>377</v>
      </c>
      <c r="E64" s="4" t="s">
        <v>47</v>
      </c>
      <c r="F64" s="4" t="s">
        <v>378</v>
      </c>
      <c r="G64" s="4" t="s">
        <v>47</v>
      </c>
      <c r="H64" s="4" t="s">
        <v>47</v>
      </c>
      <c r="I64">
        <f t="shared" si="0"/>
        <v>0</v>
      </c>
      <c r="J64">
        <f t="shared" si="1"/>
        <v>0</v>
      </c>
    </row>
    <row r="65" spans="1:10" ht="15" customHeight="1" x14ac:dyDescent="0.2">
      <c r="A65" s="3" t="s">
        <v>379</v>
      </c>
      <c r="B65" s="3" t="s">
        <v>380</v>
      </c>
      <c r="C65" s="3" t="s">
        <v>381</v>
      </c>
      <c r="D65" s="3" t="s">
        <v>381</v>
      </c>
      <c r="E65" s="3" t="s">
        <v>382</v>
      </c>
      <c r="F65" s="3" t="s">
        <v>382</v>
      </c>
      <c r="G65" s="3" t="s">
        <v>47</v>
      </c>
      <c r="H65" s="3" t="s">
        <v>47</v>
      </c>
      <c r="I65">
        <f t="shared" si="0"/>
        <v>0</v>
      </c>
      <c r="J65">
        <f t="shared" si="1"/>
        <v>0</v>
      </c>
    </row>
    <row r="66" spans="1:10" ht="15" customHeight="1" x14ac:dyDescent="0.2">
      <c r="A66" s="4" t="s">
        <v>383</v>
      </c>
      <c r="B66" s="4" t="s">
        <v>384</v>
      </c>
      <c r="C66" s="4" t="s">
        <v>385</v>
      </c>
      <c r="D66" s="4" t="s">
        <v>386</v>
      </c>
      <c r="E66" s="4" t="s">
        <v>387</v>
      </c>
      <c r="F66" s="4" t="s">
        <v>388</v>
      </c>
      <c r="G66" s="4" t="s">
        <v>389</v>
      </c>
      <c r="H66" s="4" t="s">
        <v>47</v>
      </c>
      <c r="I66">
        <f t="shared" si="0"/>
        <v>21564.639999999999</v>
      </c>
      <c r="J66">
        <f t="shared" si="1"/>
        <v>-21564.639999999999</v>
      </c>
    </row>
    <row r="67" spans="1:10" ht="15" customHeight="1" x14ac:dyDescent="0.2">
      <c r="A67" s="3" t="s">
        <v>390</v>
      </c>
      <c r="B67" s="3" t="s">
        <v>391</v>
      </c>
      <c r="C67" s="3" t="s">
        <v>392</v>
      </c>
      <c r="D67" s="3" t="s">
        <v>393</v>
      </c>
      <c r="E67" s="3" t="s">
        <v>47</v>
      </c>
      <c r="F67" s="3" t="s">
        <v>47</v>
      </c>
      <c r="G67" s="3" t="s">
        <v>47</v>
      </c>
      <c r="H67" s="3" t="s">
        <v>394</v>
      </c>
      <c r="I67">
        <f t="shared" si="0"/>
        <v>-0.01</v>
      </c>
      <c r="J67">
        <f t="shared" si="1"/>
        <v>0.02</v>
      </c>
    </row>
    <row r="68" spans="1:10" ht="15" customHeight="1" x14ac:dyDescent="0.2">
      <c r="A68" s="4" t="s">
        <v>395</v>
      </c>
      <c r="B68" s="4" t="s">
        <v>396</v>
      </c>
      <c r="C68" s="4" t="s">
        <v>397</v>
      </c>
      <c r="D68" s="4" t="s">
        <v>398</v>
      </c>
      <c r="E68" s="4" t="s">
        <v>47</v>
      </c>
      <c r="F68" s="4" t="s">
        <v>399</v>
      </c>
      <c r="G68" s="4" t="s">
        <v>400</v>
      </c>
      <c r="H68" s="4" t="s">
        <v>47</v>
      </c>
      <c r="I68">
        <f t="shared" ref="I68:I131" si="2">IF(MID(A68,1,1)="1",G68-H68,IF(MID(A68,1,1)="2",H68-G68,"VERIFICAR"))</f>
        <v>8050.84</v>
      </c>
      <c r="J68">
        <f t="shared" ref="J68:J131" si="3">IF(MID(A68,1,1)="1",H68-I68,IF(MID(B68,1,1)="2",I68-H68,IF(MID(A68,1,1)="3",F68-E68,IF(MID(A68,1,1)="4",E68-F68,"VERIFICAR"))))</f>
        <v>-8050.84</v>
      </c>
    </row>
    <row r="69" spans="1:10" ht="15" customHeight="1" x14ac:dyDescent="0.2">
      <c r="A69" s="3" t="s">
        <v>401</v>
      </c>
      <c r="B69" s="3" t="s">
        <v>402</v>
      </c>
      <c r="C69" s="3" t="s">
        <v>403</v>
      </c>
      <c r="D69" s="3" t="s">
        <v>404</v>
      </c>
      <c r="E69" s="3" t="s">
        <v>47</v>
      </c>
      <c r="F69" s="3" t="s">
        <v>405</v>
      </c>
      <c r="G69" s="3" t="s">
        <v>47</v>
      </c>
      <c r="H69" s="3" t="s">
        <v>406</v>
      </c>
      <c r="I69">
        <f t="shared" si="2"/>
        <v>-565.94000000000005</v>
      </c>
      <c r="J69">
        <f t="shared" si="3"/>
        <v>1131.8800000000001</v>
      </c>
    </row>
    <row r="70" spans="1:10" ht="15" customHeight="1" x14ac:dyDescent="0.2">
      <c r="A70" s="4" t="s">
        <v>407</v>
      </c>
      <c r="B70" s="4" t="s">
        <v>408</v>
      </c>
      <c r="C70" s="4" t="s">
        <v>409</v>
      </c>
      <c r="D70" s="4" t="s">
        <v>410</v>
      </c>
      <c r="E70" s="4" t="s">
        <v>47</v>
      </c>
      <c r="F70" s="4" t="s">
        <v>47</v>
      </c>
      <c r="G70" s="4" t="s">
        <v>411</v>
      </c>
      <c r="H70" s="4" t="s">
        <v>47</v>
      </c>
      <c r="I70">
        <f t="shared" si="2"/>
        <v>100</v>
      </c>
      <c r="J70">
        <f t="shared" si="3"/>
        <v>-100</v>
      </c>
    </row>
    <row r="71" spans="1:10" ht="15" customHeight="1" x14ac:dyDescent="0.2">
      <c r="A71" s="3" t="s">
        <v>412</v>
      </c>
      <c r="B71" s="3" t="s">
        <v>413</v>
      </c>
      <c r="C71" s="3" t="s">
        <v>414</v>
      </c>
      <c r="D71" s="3" t="s">
        <v>415</v>
      </c>
      <c r="E71" s="3" t="s">
        <v>47</v>
      </c>
      <c r="F71" s="3" t="s">
        <v>47</v>
      </c>
      <c r="G71" s="3" t="s">
        <v>416</v>
      </c>
      <c r="H71" s="3" t="s">
        <v>47</v>
      </c>
      <c r="I71">
        <f t="shared" si="2"/>
        <v>7552.96</v>
      </c>
      <c r="J71">
        <f t="shared" si="3"/>
        <v>-7552.96</v>
      </c>
    </row>
    <row r="72" spans="1:10" ht="15" customHeight="1" x14ac:dyDescent="0.2">
      <c r="A72" s="4" t="s">
        <v>417</v>
      </c>
      <c r="B72" s="4" t="s">
        <v>418</v>
      </c>
      <c r="C72" s="4" t="s">
        <v>419</v>
      </c>
      <c r="D72" s="4" t="s">
        <v>420</v>
      </c>
      <c r="E72" s="4" t="s">
        <v>421</v>
      </c>
      <c r="F72" s="4" t="s">
        <v>421</v>
      </c>
      <c r="G72" s="4" t="s">
        <v>422</v>
      </c>
      <c r="H72" s="4" t="s">
        <v>47</v>
      </c>
      <c r="I72">
        <f t="shared" si="2"/>
        <v>3131.17</v>
      </c>
      <c r="J72">
        <f t="shared" si="3"/>
        <v>-3131.17</v>
      </c>
    </row>
    <row r="73" spans="1:10" ht="15" customHeight="1" x14ac:dyDescent="0.2">
      <c r="A73" s="3" t="s">
        <v>423</v>
      </c>
      <c r="B73" s="3" t="s">
        <v>424</v>
      </c>
      <c r="C73" s="3" t="s">
        <v>425</v>
      </c>
      <c r="D73" s="3" t="s">
        <v>426</v>
      </c>
      <c r="E73" s="3" t="s">
        <v>427</v>
      </c>
      <c r="F73" s="3" t="s">
        <v>428</v>
      </c>
      <c r="G73" s="3" t="s">
        <v>429</v>
      </c>
      <c r="H73" s="3" t="s">
        <v>47</v>
      </c>
      <c r="I73">
        <f t="shared" si="2"/>
        <v>11440.14</v>
      </c>
      <c r="J73">
        <f t="shared" si="3"/>
        <v>-11440.14</v>
      </c>
    </row>
    <row r="74" spans="1:10" ht="15" customHeight="1" x14ac:dyDescent="0.2">
      <c r="A74" s="4" t="s">
        <v>430</v>
      </c>
      <c r="B74" s="4" t="s">
        <v>431</v>
      </c>
      <c r="C74" s="4" t="s">
        <v>432</v>
      </c>
      <c r="D74" s="4" t="s">
        <v>433</v>
      </c>
      <c r="E74" s="4" t="s">
        <v>47</v>
      </c>
      <c r="F74" s="4" t="s">
        <v>434</v>
      </c>
      <c r="G74" s="4" t="s">
        <v>435</v>
      </c>
      <c r="H74" s="4" t="s">
        <v>47</v>
      </c>
      <c r="I74">
        <f t="shared" si="2"/>
        <v>10370.33</v>
      </c>
      <c r="J74">
        <f t="shared" si="3"/>
        <v>-10370.33</v>
      </c>
    </row>
    <row r="75" spans="1:10" ht="15" customHeight="1" x14ac:dyDescent="0.2">
      <c r="A75" s="3" t="s">
        <v>436</v>
      </c>
      <c r="B75" s="3" t="s">
        <v>437</v>
      </c>
      <c r="C75" s="3" t="s">
        <v>438</v>
      </c>
      <c r="D75" s="3" t="s">
        <v>439</v>
      </c>
      <c r="E75" s="3" t="s">
        <v>47</v>
      </c>
      <c r="F75" s="3" t="s">
        <v>440</v>
      </c>
      <c r="G75" s="3" t="s">
        <v>441</v>
      </c>
      <c r="H75" s="3" t="s">
        <v>47</v>
      </c>
      <c r="I75">
        <f t="shared" si="2"/>
        <v>1838.01</v>
      </c>
      <c r="J75">
        <f t="shared" si="3"/>
        <v>-1838.01</v>
      </c>
    </row>
    <row r="76" spans="1:10" ht="15" customHeight="1" x14ac:dyDescent="0.2">
      <c r="A76" s="4" t="s">
        <v>442</v>
      </c>
      <c r="B76" s="4" t="s">
        <v>443</v>
      </c>
      <c r="C76" s="4" t="s">
        <v>444</v>
      </c>
      <c r="D76" s="4" t="s">
        <v>445</v>
      </c>
      <c r="E76" s="4" t="s">
        <v>47</v>
      </c>
      <c r="F76" s="4" t="s">
        <v>47</v>
      </c>
      <c r="G76" s="4" t="s">
        <v>47</v>
      </c>
      <c r="H76" s="4" t="s">
        <v>332</v>
      </c>
      <c r="I76">
        <f t="shared" si="2"/>
        <v>-0.02</v>
      </c>
      <c r="J76">
        <f t="shared" si="3"/>
        <v>0.04</v>
      </c>
    </row>
    <row r="77" spans="1:10" ht="15" customHeight="1" x14ac:dyDescent="0.2">
      <c r="A77" s="3" t="s">
        <v>446</v>
      </c>
      <c r="B77" s="3" t="s">
        <v>447</v>
      </c>
      <c r="C77" s="3" t="s">
        <v>448</v>
      </c>
      <c r="D77" s="3" t="s">
        <v>449</v>
      </c>
      <c r="E77" s="3" t="s">
        <v>47</v>
      </c>
      <c r="F77" s="3" t="s">
        <v>450</v>
      </c>
      <c r="G77" s="3" t="s">
        <v>451</v>
      </c>
      <c r="H77" s="3" t="s">
        <v>47</v>
      </c>
      <c r="I77">
        <f t="shared" si="2"/>
        <v>9664.5</v>
      </c>
      <c r="J77">
        <f t="shared" si="3"/>
        <v>-9664.5</v>
      </c>
    </row>
    <row r="78" spans="1:10" ht="15" customHeight="1" x14ac:dyDescent="0.2">
      <c r="A78" s="4" t="s">
        <v>452</v>
      </c>
      <c r="B78" s="4" t="s">
        <v>453</v>
      </c>
      <c r="C78" s="4" t="s">
        <v>454</v>
      </c>
      <c r="D78" s="4" t="s">
        <v>455</v>
      </c>
      <c r="E78" s="4" t="s">
        <v>47</v>
      </c>
      <c r="F78" s="4" t="s">
        <v>47</v>
      </c>
      <c r="G78" s="4" t="s">
        <v>456</v>
      </c>
      <c r="H78" s="4" t="s">
        <v>47</v>
      </c>
      <c r="I78">
        <f t="shared" si="2"/>
        <v>9565.67</v>
      </c>
      <c r="J78">
        <f t="shared" si="3"/>
        <v>-9565.67</v>
      </c>
    </row>
    <row r="79" spans="1:10" ht="15" customHeight="1" x14ac:dyDescent="0.2">
      <c r="A79" s="3" t="s">
        <v>457</v>
      </c>
      <c r="B79" s="3" t="s">
        <v>458</v>
      </c>
      <c r="C79" s="3" t="s">
        <v>459</v>
      </c>
      <c r="D79" s="3" t="s">
        <v>460</v>
      </c>
      <c r="E79" s="3" t="s">
        <v>47</v>
      </c>
      <c r="F79" s="3" t="s">
        <v>47</v>
      </c>
      <c r="G79" s="3" t="s">
        <v>461</v>
      </c>
      <c r="H79" s="3" t="s">
        <v>47</v>
      </c>
      <c r="I79">
        <f t="shared" si="2"/>
        <v>1444.75</v>
      </c>
      <c r="J79">
        <f t="shared" si="3"/>
        <v>-1444.75</v>
      </c>
    </row>
    <row r="80" spans="1:10" ht="15" customHeight="1" x14ac:dyDescent="0.2">
      <c r="A80" s="4" t="s">
        <v>462</v>
      </c>
      <c r="B80" s="4" t="s">
        <v>463</v>
      </c>
      <c r="C80" s="4" t="s">
        <v>464</v>
      </c>
      <c r="D80" s="4" t="s">
        <v>465</v>
      </c>
      <c r="E80" s="4" t="s">
        <v>47</v>
      </c>
      <c r="F80" s="4" t="s">
        <v>466</v>
      </c>
      <c r="G80" s="4" t="s">
        <v>467</v>
      </c>
      <c r="H80" s="4" t="s">
        <v>47</v>
      </c>
      <c r="I80">
        <f t="shared" si="2"/>
        <v>6969.02</v>
      </c>
      <c r="J80">
        <f t="shared" si="3"/>
        <v>-6969.02</v>
      </c>
    </row>
    <row r="81" spans="1:10" ht="15" customHeight="1" x14ac:dyDescent="0.2">
      <c r="A81" s="3" t="s">
        <v>468</v>
      </c>
      <c r="B81" s="3" t="s">
        <v>469</v>
      </c>
      <c r="C81" s="3" t="s">
        <v>470</v>
      </c>
      <c r="D81" s="3" t="s">
        <v>471</v>
      </c>
      <c r="E81" s="3" t="s">
        <v>47</v>
      </c>
      <c r="F81" s="3" t="s">
        <v>472</v>
      </c>
      <c r="G81" s="3" t="s">
        <v>473</v>
      </c>
      <c r="H81" s="3" t="s">
        <v>47</v>
      </c>
      <c r="I81">
        <f t="shared" si="2"/>
        <v>3354.24</v>
      </c>
      <c r="J81">
        <f t="shared" si="3"/>
        <v>-3354.24</v>
      </c>
    </row>
    <row r="82" spans="1:10" ht="15" customHeight="1" x14ac:dyDescent="0.2">
      <c r="A82" s="4" t="s">
        <v>474</v>
      </c>
      <c r="B82" s="4" t="s">
        <v>475</v>
      </c>
      <c r="C82" s="4" t="s">
        <v>476</v>
      </c>
      <c r="D82" s="4" t="s">
        <v>477</v>
      </c>
      <c r="E82" s="4" t="s">
        <v>47</v>
      </c>
      <c r="F82" s="4" t="s">
        <v>47</v>
      </c>
      <c r="G82" s="4" t="s">
        <v>478</v>
      </c>
      <c r="H82" s="4" t="s">
        <v>47</v>
      </c>
      <c r="I82">
        <f t="shared" si="2"/>
        <v>1500</v>
      </c>
      <c r="J82">
        <f t="shared" si="3"/>
        <v>-1500</v>
      </c>
    </row>
    <row r="83" spans="1:10" ht="15" customHeight="1" x14ac:dyDescent="0.2">
      <c r="A83" s="3" t="s">
        <v>479</v>
      </c>
      <c r="B83" s="3" t="s">
        <v>480</v>
      </c>
      <c r="C83" s="3" t="s">
        <v>481</v>
      </c>
      <c r="D83" s="3" t="s">
        <v>482</v>
      </c>
      <c r="E83" s="3" t="s">
        <v>47</v>
      </c>
      <c r="F83" s="3" t="s">
        <v>483</v>
      </c>
      <c r="G83" s="3" t="s">
        <v>484</v>
      </c>
      <c r="H83" s="3" t="s">
        <v>47</v>
      </c>
      <c r="I83">
        <f t="shared" si="2"/>
        <v>3665.72</v>
      </c>
      <c r="J83">
        <f t="shared" si="3"/>
        <v>-3665.72</v>
      </c>
    </row>
    <row r="84" spans="1:10" ht="15" customHeight="1" x14ac:dyDescent="0.2">
      <c r="A84" s="4" t="s">
        <v>485</v>
      </c>
      <c r="B84" s="4" t="s">
        <v>486</v>
      </c>
      <c r="C84" s="4" t="s">
        <v>487</v>
      </c>
      <c r="D84" s="4" t="s">
        <v>488</v>
      </c>
      <c r="E84" s="4" t="s">
        <v>47</v>
      </c>
      <c r="F84" s="4" t="s">
        <v>47</v>
      </c>
      <c r="G84" s="4" t="s">
        <v>489</v>
      </c>
      <c r="H84" s="4" t="s">
        <v>47</v>
      </c>
      <c r="I84">
        <f t="shared" si="2"/>
        <v>624.37</v>
      </c>
      <c r="J84">
        <f t="shared" si="3"/>
        <v>-624.37</v>
      </c>
    </row>
    <row r="85" spans="1:10" ht="15" customHeight="1" x14ac:dyDescent="0.2">
      <c r="A85" s="3" t="s">
        <v>490</v>
      </c>
      <c r="B85" s="3" t="s">
        <v>491</v>
      </c>
      <c r="C85" s="3" t="s">
        <v>492</v>
      </c>
      <c r="D85" s="3" t="s">
        <v>493</v>
      </c>
      <c r="E85" s="3" t="s">
        <v>47</v>
      </c>
      <c r="F85" s="3" t="s">
        <v>47</v>
      </c>
      <c r="G85" s="3" t="s">
        <v>494</v>
      </c>
      <c r="H85" s="3" t="s">
        <v>47</v>
      </c>
      <c r="I85">
        <f t="shared" si="2"/>
        <v>0.6</v>
      </c>
      <c r="J85">
        <f t="shared" si="3"/>
        <v>-0.6</v>
      </c>
    </row>
    <row r="86" spans="1:10" ht="15" customHeight="1" x14ac:dyDescent="0.2">
      <c r="A86" s="4" t="s">
        <v>495</v>
      </c>
      <c r="B86" s="4" t="s">
        <v>496</v>
      </c>
      <c r="C86" s="4" t="s">
        <v>497</v>
      </c>
      <c r="D86" s="4" t="s">
        <v>497</v>
      </c>
      <c r="E86" s="4" t="s">
        <v>498</v>
      </c>
      <c r="F86" s="4" t="s">
        <v>47</v>
      </c>
      <c r="G86" s="4" t="s">
        <v>498</v>
      </c>
      <c r="H86" s="4" t="s">
        <v>47</v>
      </c>
      <c r="I86">
        <f t="shared" si="2"/>
        <v>1615.86</v>
      </c>
      <c r="J86">
        <f t="shared" si="3"/>
        <v>-1615.86</v>
      </c>
    </row>
    <row r="87" spans="1:10" ht="15" customHeight="1" x14ac:dyDescent="0.2">
      <c r="A87" s="3" t="s">
        <v>499</v>
      </c>
      <c r="B87" s="3" t="s">
        <v>500</v>
      </c>
      <c r="C87" s="3" t="s">
        <v>501</v>
      </c>
      <c r="D87" s="3" t="s">
        <v>501</v>
      </c>
      <c r="E87" s="3" t="s">
        <v>502</v>
      </c>
      <c r="F87" s="3" t="s">
        <v>502</v>
      </c>
      <c r="G87" s="3" t="s">
        <v>47</v>
      </c>
      <c r="H87" s="3" t="s">
        <v>47</v>
      </c>
      <c r="I87">
        <f t="shared" si="2"/>
        <v>0</v>
      </c>
      <c r="J87">
        <f t="shared" si="3"/>
        <v>0</v>
      </c>
    </row>
    <row r="88" spans="1:10" ht="15" customHeight="1" x14ac:dyDescent="0.2">
      <c r="A88" s="4" t="s">
        <v>503</v>
      </c>
      <c r="B88" s="4" t="s">
        <v>504</v>
      </c>
      <c r="C88" s="4" t="s">
        <v>505</v>
      </c>
      <c r="D88" s="4" t="s">
        <v>506</v>
      </c>
      <c r="E88" s="4" t="s">
        <v>507</v>
      </c>
      <c r="F88" s="4" t="s">
        <v>508</v>
      </c>
      <c r="G88" s="4" t="s">
        <v>509</v>
      </c>
      <c r="H88" s="4" t="s">
        <v>47</v>
      </c>
      <c r="I88">
        <f t="shared" si="2"/>
        <v>8592.33</v>
      </c>
      <c r="J88">
        <f t="shared" si="3"/>
        <v>-8592.33</v>
      </c>
    </row>
    <row r="89" spans="1:10" ht="15" customHeight="1" x14ac:dyDescent="0.2">
      <c r="A89" s="3" t="s">
        <v>510</v>
      </c>
      <c r="B89" s="3" t="s">
        <v>511</v>
      </c>
      <c r="C89" s="3" t="s">
        <v>512</v>
      </c>
      <c r="D89" s="3" t="s">
        <v>512</v>
      </c>
      <c r="E89" s="3" t="s">
        <v>513</v>
      </c>
      <c r="F89" s="3" t="s">
        <v>47</v>
      </c>
      <c r="G89" s="3" t="s">
        <v>513</v>
      </c>
      <c r="H89" s="3" t="s">
        <v>47</v>
      </c>
      <c r="I89">
        <f t="shared" si="2"/>
        <v>692.47</v>
      </c>
      <c r="J89">
        <f t="shared" si="3"/>
        <v>-692.47</v>
      </c>
    </row>
    <row r="90" spans="1:10" ht="15" customHeight="1" x14ac:dyDescent="0.2">
      <c r="A90" s="4" t="s">
        <v>514</v>
      </c>
      <c r="B90" s="4" t="s">
        <v>515</v>
      </c>
      <c r="C90" s="4" t="s">
        <v>516</v>
      </c>
      <c r="D90" s="4" t="s">
        <v>517</v>
      </c>
      <c r="E90" s="4" t="s">
        <v>47</v>
      </c>
      <c r="F90" s="4" t="s">
        <v>47</v>
      </c>
      <c r="G90" s="4" t="s">
        <v>518</v>
      </c>
      <c r="H90" s="4" t="s">
        <v>47</v>
      </c>
      <c r="I90">
        <f t="shared" si="2"/>
        <v>2085.3000000000002</v>
      </c>
      <c r="J90">
        <f t="shared" si="3"/>
        <v>-2085.3000000000002</v>
      </c>
    </row>
    <row r="91" spans="1:10" ht="15" customHeight="1" x14ac:dyDescent="0.2">
      <c r="A91" s="3" t="s">
        <v>519</v>
      </c>
      <c r="B91" s="3" t="s">
        <v>520</v>
      </c>
      <c r="C91" s="3" t="s">
        <v>521</v>
      </c>
      <c r="D91" s="3" t="s">
        <v>522</v>
      </c>
      <c r="E91" s="3" t="s">
        <v>47</v>
      </c>
      <c r="F91" s="3" t="s">
        <v>523</v>
      </c>
      <c r="G91" s="3" t="s">
        <v>47</v>
      </c>
      <c r="H91" s="3" t="s">
        <v>47</v>
      </c>
      <c r="I91">
        <f t="shared" si="2"/>
        <v>0</v>
      </c>
      <c r="J91">
        <f t="shared" si="3"/>
        <v>0</v>
      </c>
    </row>
    <row r="92" spans="1:10" ht="15" customHeight="1" x14ac:dyDescent="0.2">
      <c r="A92" s="4" t="s">
        <v>524</v>
      </c>
      <c r="B92" s="4" t="s">
        <v>525</v>
      </c>
      <c r="C92" s="4" t="s">
        <v>526</v>
      </c>
      <c r="D92" s="4" t="s">
        <v>527</v>
      </c>
      <c r="E92" s="4" t="s">
        <v>47</v>
      </c>
      <c r="F92" s="4" t="s">
        <v>47</v>
      </c>
      <c r="G92" s="4" t="s">
        <v>528</v>
      </c>
      <c r="H92" s="4" t="s">
        <v>47</v>
      </c>
      <c r="I92">
        <f t="shared" si="2"/>
        <v>37303.599999999999</v>
      </c>
      <c r="J92">
        <f t="shared" si="3"/>
        <v>-37303.599999999999</v>
      </c>
    </row>
    <row r="93" spans="1:10" ht="15" customHeight="1" x14ac:dyDescent="0.2">
      <c r="A93" s="3" t="s">
        <v>529</v>
      </c>
      <c r="B93" s="3" t="s">
        <v>530</v>
      </c>
      <c r="C93" s="3" t="s">
        <v>531</v>
      </c>
      <c r="D93" s="3" t="s">
        <v>532</v>
      </c>
      <c r="E93" s="3" t="s">
        <v>47</v>
      </c>
      <c r="F93" s="3" t="s">
        <v>47</v>
      </c>
      <c r="G93" s="3" t="s">
        <v>394</v>
      </c>
      <c r="H93" s="3" t="s">
        <v>47</v>
      </c>
      <c r="I93">
        <f t="shared" si="2"/>
        <v>0.01</v>
      </c>
      <c r="J93">
        <f t="shared" si="3"/>
        <v>-0.01</v>
      </c>
    </row>
    <row r="94" spans="1:10" ht="15" customHeight="1" x14ac:dyDescent="0.2">
      <c r="A94" s="4" t="s">
        <v>533</v>
      </c>
      <c r="B94" s="4" t="s">
        <v>534</v>
      </c>
      <c r="C94" s="4" t="s">
        <v>535</v>
      </c>
      <c r="D94" s="4" t="s">
        <v>536</v>
      </c>
      <c r="E94" s="4" t="s">
        <v>47</v>
      </c>
      <c r="F94" s="4" t="s">
        <v>537</v>
      </c>
      <c r="G94" s="4" t="s">
        <v>47</v>
      </c>
      <c r="H94" s="4" t="s">
        <v>47</v>
      </c>
      <c r="I94">
        <f t="shared" si="2"/>
        <v>0</v>
      </c>
      <c r="J94">
        <f t="shared" si="3"/>
        <v>0</v>
      </c>
    </row>
    <row r="95" spans="1:10" ht="15" customHeight="1" x14ac:dyDescent="0.2">
      <c r="A95" s="3" t="s">
        <v>538</v>
      </c>
      <c r="B95" s="3" t="s">
        <v>539</v>
      </c>
      <c r="C95" s="3" t="s">
        <v>540</v>
      </c>
      <c r="D95" s="3" t="s">
        <v>541</v>
      </c>
      <c r="E95" s="3" t="s">
        <v>47</v>
      </c>
      <c r="F95" s="3" t="s">
        <v>47</v>
      </c>
      <c r="G95" s="3" t="s">
        <v>542</v>
      </c>
      <c r="H95" s="3" t="s">
        <v>47</v>
      </c>
      <c r="I95">
        <f t="shared" si="2"/>
        <v>1236.1199999999999</v>
      </c>
      <c r="J95">
        <f t="shared" si="3"/>
        <v>-1236.1199999999999</v>
      </c>
    </row>
    <row r="96" spans="1:10" ht="15" customHeight="1" x14ac:dyDescent="0.2">
      <c r="A96" s="4" t="s">
        <v>543</v>
      </c>
      <c r="B96" s="4" t="s">
        <v>544</v>
      </c>
      <c r="C96" s="4" t="s">
        <v>545</v>
      </c>
      <c r="D96" s="4" t="s">
        <v>546</v>
      </c>
      <c r="E96" s="4" t="s">
        <v>47</v>
      </c>
      <c r="F96" s="4" t="s">
        <v>547</v>
      </c>
      <c r="G96" s="4" t="s">
        <v>548</v>
      </c>
      <c r="H96" s="4" t="s">
        <v>47</v>
      </c>
      <c r="I96">
        <f t="shared" si="2"/>
        <v>18247.59</v>
      </c>
      <c r="J96">
        <f t="shared" si="3"/>
        <v>-18247.59</v>
      </c>
    </row>
    <row r="97" spans="1:10" ht="15" customHeight="1" x14ac:dyDescent="0.2">
      <c r="A97" s="3" t="s">
        <v>549</v>
      </c>
      <c r="B97" s="3" t="s">
        <v>550</v>
      </c>
      <c r="C97" s="3" t="s">
        <v>551</v>
      </c>
      <c r="D97" s="3" t="s">
        <v>552</v>
      </c>
      <c r="E97" s="3" t="s">
        <v>47</v>
      </c>
      <c r="F97" s="3" t="s">
        <v>553</v>
      </c>
      <c r="G97" s="3" t="s">
        <v>47</v>
      </c>
      <c r="H97" s="3" t="s">
        <v>47</v>
      </c>
      <c r="I97">
        <f t="shared" si="2"/>
        <v>0</v>
      </c>
      <c r="J97">
        <f t="shared" si="3"/>
        <v>0</v>
      </c>
    </row>
    <row r="98" spans="1:10" ht="15" customHeight="1" x14ac:dyDescent="0.2">
      <c r="A98" s="4" t="s">
        <v>554</v>
      </c>
      <c r="B98" s="4" t="s">
        <v>555</v>
      </c>
      <c r="C98" s="4" t="s">
        <v>556</v>
      </c>
      <c r="D98" s="4" t="s">
        <v>557</v>
      </c>
      <c r="E98" s="4" t="s">
        <v>47</v>
      </c>
      <c r="F98" s="4" t="s">
        <v>558</v>
      </c>
      <c r="G98" s="4" t="s">
        <v>559</v>
      </c>
      <c r="H98" s="4" t="s">
        <v>47</v>
      </c>
      <c r="I98">
        <f t="shared" si="2"/>
        <v>9500</v>
      </c>
      <c r="J98">
        <f t="shared" si="3"/>
        <v>-9500</v>
      </c>
    </row>
    <row r="99" spans="1:10" ht="15" customHeight="1" x14ac:dyDescent="0.2">
      <c r="A99" s="3" t="s">
        <v>560</v>
      </c>
      <c r="B99" s="3" t="s">
        <v>561</v>
      </c>
      <c r="C99" s="3" t="s">
        <v>562</v>
      </c>
      <c r="D99" s="3" t="s">
        <v>563</v>
      </c>
      <c r="E99" s="3" t="s">
        <v>47</v>
      </c>
      <c r="F99" s="3" t="s">
        <v>47</v>
      </c>
      <c r="G99" s="3" t="s">
        <v>47</v>
      </c>
      <c r="H99" s="3" t="s">
        <v>394</v>
      </c>
      <c r="I99">
        <f t="shared" si="2"/>
        <v>-0.01</v>
      </c>
      <c r="J99">
        <f t="shared" si="3"/>
        <v>0.02</v>
      </c>
    </row>
    <row r="100" spans="1:10" ht="15" customHeight="1" x14ac:dyDescent="0.2">
      <c r="A100" s="4" t="s">
        <v>564</v>
      </c>
      <c r="B100" s="4" t="s">
        <v>565</v>
      </c>
      <c r="C100" s="4" t="s">
        <v>566</v>
      </c>
      <c r="D100" s="4" t="s">
        <v>567</v>
      </c>
      <c r="E100" s="4" t="s">
        <v>47</v>
      </c>
      <c r="F100" s="4" t="s">
        <v>47</v>
      </c>
      <c r="G100" s="4" t="s">
        <v>568</v>
      </c>
      <c r="H100" s="4" t="s">
        <v>47</v>
      </c>
      <c r="I100">
        <f t="shared" si="2"/>
        <v>7584.55</v>
      </c>
      <c r="J100">
        <f t="shared" si="3"/>
        <v>-7584.55</v>
      </c>
    </row>
    <row r="101" spans="1:10" ht="15" customHeight="1" x14ac:dyDescent="0.2">
      <c r="A101" s="3" t="s">
        <v>569</v>
      </c>
      <c r="B101" s="3" t="s">
        <v>570</v>
      </c>
      <c r="C101" s="3" t="s">
        <v>571</v>
      </c>
      <c r="D101" s="3" t="s">
        <v>572</v>
      </c>
      <c r="E101" s="3" t="s">
        <v>47</v>
      </c>
      <c r="F101" s="3" t="s">
        <v>573</v>
      </c>
      <c r="G101" s="3" t="s">
        <v>574</v>
      </c>
      <c r="H101" s="3" t="s">
        <v>47</v>
      </c>
      <c r="I101">
        <f t="shared" si="2"/>
        <v>18749.990000000002</v>
      </c>
      <c r="J101">
        <f t="shared" si="3"/>
        <v>-18749.990000000002</v>
      </c>
    </row>
    <row r="102" spans="1:10" ht="15" customHeight="1" x14ac:dyDescent="0.2">
      <c r="A102" s="4" t="s">
        <v>575</v>
      </c>
      <c r="B102" s="4" t="s">
        <v>576</v>
      </c>
      <c r="C102" s="4" t="s">
        <v>577</v>
      </c>
      <c r="D102" s="4" t="s">
        <v>577</v>
      </c>
      <c r="E102" s="4" t="s">
        <v>578</v>
      </c>
      <c r="F102" s="4" t="s">
        <v>47</v>
      </c>
      <c r="G102" s="4" t="s">
        <v>578</v>
      </c>
      <c r="H102" s="4" t="s">
        <v>47</v>
      </c>
      <c r="I102">
        <f t="shared" si="2"/>
        <v>14090.65</v>
      </c>
      <c r="J102">
        <f t="shared" si="3"/>
        <v>-14090.65</v>
      </c>
    </row>
    <row r="103" spans="1:10" ht="15" customHeight="1" x14ac:dyDescent="0.2">
      <c r="A103" s="3" t="s">
        <v>579</v>
      </c>
      <c r="B103" s="3" t="s">
        <v>580</v>
      </c>
      <c r="C103" s="3" t="s">
        <v>581</v>
      </c>
      <c r="D103" s="3" t="s">
        <v>581</v>
      </c>
      <c r="E103" s="3" t="s">
        <v>582</v>
      </c>
      <c r="F103" s="3" t="s">
        <v>47</v>
      </c>
      <c r="G103" s="3" t="s">
        <v>582</v>
      </c>
      <c r="H103" s="3" t="s">
        <v>47</v>
      </c>
      <c r="I103">
        <f t="shared" si="2"/>
        <v>36372.26</v>
      </c>
      <c r="J103">
        <f t="shared" si="3"/>
        <v>-36372.26</v>
      </c>
    </row>
    <row r="104" spans="1:10" ht="15" customHeight="1" x14ac:dyDescent="0.2">
      <c r="A104" s="4" t="s">
        <v>583</v>
      </c>
      <c r="B104" s="4" t="s">
        <v>584</v>
      </c>
      <c r="C104" s="4" t="s">
        <v>585</v>
      </c>
      <c r="D104" s="4" t="s">
        <v>586</v>
      </c>
      <c r="E104" s="4" t="s">
        <v>47</v>
      </c>
      <c r="F104" s="4" t="s">
        <v>47</v>
      </c>
      <c r="G104" s="4" t="s">
        <v>47</v>
      </c>
      <c r="H104" s="4" t="s">
        <v>394</v>
      </c>
      <c r="I104">
        <f t="shared" si="2"/>
        <v>-0.01</v>
      </c>
      <c r="J104">
        <f t="shared" si="3"/>
        <v>0.02</v>
      </c>
    </row>
    <row r="105" spans="1:10" ht="15" customHeight="1" x14ac:dyDescent="0.2">
      <c r="A105" s="3" t="s">
        <v>587</v>
      </c>
      <c r="B105" s="3" t="s">
        <v>588</v>
      </c>
      <c r="C105" s="3" t="s">
        <v>589</v>
      </c>
      <c r="D105" s="3" t="s">
        <v>590</v>
      </c>
      <c r="E105" s="3" t="s">
        <v>47</v>
      </c>
      <c r="F105" s="3" t="s">
        <v>47</v>
      </c>
      <c r="G105" s="3" t="s">
        <v>411</v>
      </c>
      <c r="H105" s="3" t="s">
        <v>47</v>
      </c>
      <c r="I105">
        <f t="shared" si="2"/>
        <v>100</v>
      </c>
      <c r="J105">
        <f t="shared" si="3"/>
        <v>-100</v>
      </c>
    </row>
    <row r="106" spans="1:10" ht="15" customHeight="1" x14ac:dyDescent="0.2">
      <c r="A106" s="4" t="s">
        <v>591</v>
      </c>
      <c r="B106" s="4" t="s">
        <v>592</v>
      </c>
      <c r="C106" s="4" t="s">
        <v>593</v>
      </c>
      <c r="D106" s="4" t="s">
        <v>594</v>
      </c>
      <c r="E106" s="4" t="s">
        <v>595</v>
      </c>
      <c r="F106" s="4" t="s">
        <v>596</v>
      </c>
      <c r="G106" s="4" t="s">
        <v>597</v>
      </c>
      <c r="H106" s="4" t="s">
        <v>47</v>
      </c>
      <c r="I106">
        <f t="shared" si="2"/>
        <v>28460.44</v>
      </c>
      <c r="J106">
        <f t="shared" si="3"/>
        <v>-28460.44</v>
      </c>
    </row>
    <row r="107" spans="1:10" ht="15" customHeight="1" x14ac:dyDescent="0.2">
      <c r="A107" s="3" t="s">
        <v>598</v>
      </c>
      <c r="B107" s="3" t="s">
        <v>599</v>
      </c>
      <c r="C107" s="3" t="s">
        <v>600</v>
      </c>
      <c r="D107" s="3" t="s">
        <v>601</v>
      </c>
      <c r="E107" s="3" t="s">
        <v>602</v>
      </c>
      <c r="F107" s="3" t="s">
        <v>603</v>
      </c>
      <c r="G107" s="3" t="s">
        <v>604</v>
      </c>
      <c r="H107" s="3" t="s">
        <v>47</v>
      </c>
      <c r="I107">
        <f t="shared" si="2"/>
        <v>50844.81</v>
      </c>
      <c r="J107">
        <f t="shared" si="3"/>
        <v>-50844.81</v>
      </c>
    </row>
    <row r="108" spans="1:10" ht="15" customHeight="1" x14ac:dyDescent="0.2">
      <c r="A108" s="4" t="s">
        <v>605</v>
      </c>
      <c r="B108" s="4" t="s">
        <v>606</v>
      </c>
      <c r="C108" s="4" t="s">
        <v>607</v>
      </c>
      <c r="D108" s="4" t="s">
        <v>608</v>
      </c>
      <c r="E108" s="4" t="s">
        <v>47</v>
      </c>
      <c r="F108" s="4" t="s">
        <v>47</v>
      </c>
      <c r="G108" s="4" t="s">
        <v>609</v>
      </c>
      <c r="H108" s="4" t="s">
        <v>47</v>
      </c>
      <c r="I108">
        <f t="shared" si="2"/>
        <v>11249.45</v>
      </c>
      <c r="J108">
        <f t="shared" si="3"/>
        <v>-11249.45</v>
      </c>
    </row>
    <row r="109" spans="1:10" ht="15" customHeight="1" x14ac:dyDescent="0.2">
      <c r="A109" s="3" t="s">
        <v>610</v>
      </c>
      <c r="B109" s="3" t="s">
        <v>611</v>
      </c>
      <c r="C109" s="3" t="s">
        <v>612</v>
      </c>
      <c r="D109" s="3" t="s">
        <v>613</v>
      </c>
      <c r="E109" s="3" t="s">
        <v>47</v>
      </c>
      <c r="F109" s="3" t="s">
        <v>614</v>
      </c>
      <c r="G109" s="3" t="s">
        <v>47</v>
      </c>
      <c r="H109" s="3" t="s">
        <v>47</v>
      </c>
      <c r="I109">
        <f t="shared" si="2"/>
        <v>0</v>
      </c>
      <c r="J109">
        <f t="shared" si="3"/>
        <v>0</v>
      </c>
    </row>
    <row r="110" spans="1:10" ht="15" customHeight="1" x14ac:dyDescent="0.2">
      <c r="A110" s="4" t="s">
        <v>615</v>
      </c>
      <c r="B110" s="4" t="s">
        <v>616</v>
      </c>
      <c r="C110" s="4" t="s">
        <v>617</v>
      </c>
      <c r="D110" s="4" t="s">
        <v>618</v>
      </c>
      <c r="E110" s="4" t="s">
        <v>619</v>
      </c>
      <c r="F110" s="4" t="s">
        <v>620</v>
      </c>
      <c r="G110" s="4" t="s">
        <v>621</v>
      </c>
      <c r="H110" s="4" t="s">
        <v>47</v>
      </c>
      <c r="I110">
        <f t="shared" si="2"/>
        <v>5413.36</v>
      </c>
      <c r="J110">
        <f t="shared" si="3"/>
        <v>-5413.36</v>
      </c>
    </row>
    <row r="111" spans="1:10" ht="15" customHeight="1" x14ac:dyDescent="0.2">
      <c r="A111" s="3" t="s">
        <v>622</v>
      </c>
      <c r="B111" s="3" t="s">
        <v>623</v>
      </c>
      <c r="C111" s="3" t="s">
        <v>624</v>
      </c>
      <c r="D111" s="3" t="s">
        <v>625</v>
      </c>
      <c r="E111" s="3" t="s">
        <v>47</v>
      </c>
      <c r="F111" s="3" t="s">
        <v>47</v>
      </c>
      <c r="G111" s="3" t="s">
        <v>47</v>
      </c>
      <c r="H111" s="3" t="s">
        <v>394</v>
      </c>
      <c r="I111">
        <f t="shared" si="2"/>
        <v>-0.01</v>
      </c>
      <c r="J111">
        <f t="shared" si="3"/>
        <v>0.02</v>
      </c>
    </row>
    <row r="112" spans="1:10" ht="15" customHeight="1" x14ac:dyDescent="0.2">
      <c r="A112" s="4" t="s">
        <v>626</v>
      </c>
      <c r="B112" s="4" t="s">
        <v>627</v>
      </c>
      <c r="C112" s="4" t="s">
        <v>628</v>
      </c>
      <c r="D112" s="4" t="s">
        <v>629</v>
      </c>
      <c r="E112" s="4" t="s">
        <v>47</v>
      </c>
      <c r="F112" s="4" t="s">
        <v>47</v>
      </c>
      <c r="G112" s="4" t="s">
        <v>630</v>
      </c>
      <c r="H112" s="4" t="s">
        <v>47</v>
      </c>
      <c r="I112">
        <f t="shared" si="2"/>
        <v>6833.76</v>
      </c>
      <c r="J112">
        <f t="shared" si="3"/>
        <v>-6833.76</v>
      </c>
    </row>
    <row r="113" spans="1:10" ht="15" customHeight="1" x14ac:dyDescent="0.2">
      <c r="A113" s="3" t="s">
        <v>631</v>
      </c>
      <c r="B113" s="3" t="s">
        <v>632</v>
      </c>
      <c r="C113" s="3" t="s">
        <v>633</v>
      </c>
      <c r="D113" s="3" t="s">
        <v>634</v>
      </c>
      <c r="E113" s="3" t="s">
        <v>47</v>
      </c>
      <c r="F113" s="3" t="s">
        <v>47</v>
      </c>
      <c r="G113" s="3" t="s">
        <v>47</v>
      </c>
      <c r="H113" s="3" t="s">
        <v>394</v>
      </c>
      <c r="I113">
        <f t="shared" si="2"/>
        <v>-0.01</v>
      </c>
      <c r="J113">
        <f t="shared" si="3"/>
        <v>0.02</v>
      </c>
    </row>
    <row r="114" spans="1:10" ht="15" customHeight="1" x14ac:dyDescent="0.2">
      <c r="A114" s="4" t="s">
        <v>635</v>
      </c>
      <c r="B114" s="4" t="s">
        <v>636</v>
      </c>
      <c r="C114" s="4" t="s">
        <v>637</v>
      </c>
      <c r="D114" s="4" t="s">
        <v>638</v>
      </c>
      <c r="E114" s="4" t="s">
        <v>47</v>
      </c>
      <c r="F114" s="4" t="s">
        <v>47</v>
      </c>
      <c r="G114" s="4" t="s">
        <v>639</v>
      </c>
      <c r="H114" s="4" t="s">
        <v>47</v>
      </c>
      <c r="I114">
        <f t="shared" si="2"/>
        <v>500</v>
      </c>
      <c r="J114">
        <f t="shared" si="3"/>
        <v>-500</v>
      </c>
    </row>
    <row r="115" spans="1:10" ht="15" customHeight="1" x14ac:dyDescent="0.2">
      <c r="A115" s="3" t="s">
        <v>640</v>
      </c>
      <c r="B115" s="3" t="s">
        <v>641</v>
      </c>
      <c r="C115" s="3" t="s">
        <v>642</v>
      </c>
      <c r="D115" s="3" t="s">
        <v>643</v>
      </c>
      <c r="E115" s="3" t="s">
        <v>47</v>
      </c>
      <c r="F115" s="3" t="s">
        <v>47</v>
      </c>
      <c r="G115" s="3" t="s">
        <v>332</v>
      </c>
      <c r="H115" s="3" t="s">
        <v>47</v>
      </c>
      <c r="I115">
        <f t="shared" si="2"/>
        <v>0.02</v>
      </c>
      <c r="J115">
        <f t="shared" si="3"/>
        <v>-0.02</v>
      </c>
    </row>
    <row r="116" spans="1:10" ht="15" customHeight="1" x14ac:dyDescent="0.2">
      <c r="A116" s="4" t="s">
        <v>644</v>
      </c>
      <c r="B116" s="4" t="s">
        <v>645</v>
      </c>
      <c r="C116" s="4" t="s">
        <v>646</v>
      </c>
      <c r="D116" s="4" t="s">
        <v>647</v>
      </c>
      <c r="E116" s="4" t="s">
        <v>47</v>
      </c>
      <c r="F116" s="4" t="s">
        <v>648</v>
      </c>
      <c r="G116" s="4" t="s">
        <v>649</v>
      </c>
      <c r="H116" s="4" t="s">
        <v>47</v>
      </c>
      <c r="I116">
        <f t="shared" si="2"/>
        <v>1658.17</v>
      </c>
      <c r="J116">
        <f t="shared" si="3"/>
        <v>-1658.17</v>
      </c>
    </row>
    <row r="117" spans="1:10" ht="15" customHeight="1" x14ac:dyDescent="0.2">
      <c r="A117" s="3" t="s">
        <v>650</v>
      </c>
      <c r="B117" s="3" t="s">
        <v>651</v>
      </c>
      <c r="C117" s="3" t="s">
        <v>652</v>
      </c>
      <c r="D117" s="3" t="s">
        <v>652</v>
      </c>
      <c r="E117" s="3" t="s">
        <v>653</v>
      </c>
      <c r="F117" s="3" t="s">
        <v>47</v>
      </c>
      <c r="G117" s="3" t="s">
        <v>653</v>
      </c>
      <c r="H117" s="3" t="s">
        <v>47</v>
      </c>
      <c r="I117">
        <f t="shared" si="2"/>
        <v>554.09</v>
      </c>
      <c r="J117">
        <f t="shared" si="3"/>
        <v>-554.09</v>
      </c>
    </row>
    <row r="118" spans="1:10" ht="15" customHeight="1" x14ac:dyDescent="0.2">
      <c r="A118" s="4" t="s">
        <v>654</v>
      </c>
      <c r="B118" s="4" t="s">
        <v>655</v>
      </c>
      <c r="C118" s="4" t="s">
        <v>656</v>
      </c>
      <c r="D118" s="4" t="s">
        <v>656</v>
      </c>
      <c r="E118" s="4" t="s">
        <v>657</v>
      </c>
      <c r="F118" s="4" t="s">
        <v>658</v>
      </c>
      <c r="G118" s="4" t="s">
        <v>659</v>
      </c>
      <c r="H118" s="4" t="s">
        <v>47</v>
      </c>
      <c r="I118">
        <f t="shared" si="2"/>
        <v>8800</v>
      </c>
      <c r="J118">
        <f t="shared" si="3"/>
        <v>-8800</v>
      </c>
    </row>
    <row r="119" spans="1:10" ht="15" customHeight="1" x14ac:dyDescent="0.2">
      <c r="A119" s="3" t="s">
        <v>660</v>
      </c>
      <c r="B119" s="3" t="s">
        <v>661</v>
      </c>
      <c r="C119" s="3" t="s">
        <v>662</v>
      </c>
      <c r="D119" s="3" t="s">
        <v>663</v>
      </c>
      <c r="E119" s="3" t="s">
        <v>664</v>
      </c>
      <c r="F119" s="3" t="s">
        <v>665</v>
      </c>
      <c r="G119" s="3" t="s">
        <v>666</v>
      </c>
      <c r="H119" s="3" t="s">
        <v>47</v>
      </c>
      <c r="I119">
        <f t="shared" si="2"/>
        <v>4075.73</v>
      </c>
      <c r="J119">
        <f t="shared" si="3"/>
        <v>-4075.73</v>
      </c>
    </row>
    <row r="120" spans="1:10" ht="15" customHeight="1" x14ac:dyDescent="0.2">
      <c r="A120" s="4" t="s">
        <v>667</v>
      </c>
      <c r="B120" s="4" t="s">
        <v>668</v>
      </c>
      <c r="C120" s="4" t="s">
        <v>669</v>
      </c>
      <c r="D120" s="4" t="s">
        <v>669</v>
      </c>
      <c r="E120" s="4" t="s">
        <v>670</v>
      </c>
      <c r="F120" s="4" t="s">
        <v>47</v>
      </c>
      <c r="G120" s="4" t="s">
        <v>670</v>
      </c>
      <c r="H120" s="4" t="s">
        <v>47</v>
      </c>
      <c r="I120">
        <f t="shared" si="2"/>
        <v>5507.02</v>
      </c>
      <c r="J120">
        <f t="shared" si="3"/>
        <v>-5507.02</v>
      </c>
    </row>
    <row r="121" spans="1:10" ht="15" customHeight="1" x14ac:dyDescent="0.2">
      <c r="A121" s="3" t="s">
        <v>671</v>
      </c>
      <c r="B121" s="3" t="s">
        <v>672</v>
      </c>
      <c r="C121" s="3" t="s">
        <v>673</v>
      </c>
      <c r="D121" s="3" t="s">
        <v>674</v>
      </c>
      <c r="E121" s="3" t="s">
        <v>47</v>
      </c>
      <c r="F121" s="3" t="s">
        <v>47</v>
      </c>
      <c r="G121" s="3" t="s">
        <v>47</v>
      </c>
      <c r="H121" s="3" t="s">
        <v>394</v>
      </c>
      <c r="I121">
        <f t="shared" si="2"/>
        <v>-0.01</v>
      </c>
      <c r="J121">
        <f t="shared" si="3"/>
        <v>0.02</v>
      </c>
    </row>
    <row r="122" spans="1:10" ht="15" customHeight="1" x14ac:dyDescent="0.2">
      <c r="A122" s="4" t="s">
        <v>675</v>
      </c>
      <c r="B122" s="4" t="s">
        <v>676</v>
      </c>
      <c r="C122" s="4" t="s">
        <v>677</v>
      </c>
      <c r="D122" s="4" t="s">
        <v>678</v>
      </c>
      <c r="E122" s="4" t="s">
        <v>679</v>
      </c>
      <c r="F122" s="4" t="s">
        <v>47</v>
      </c>
      <c r="G122" s="4" t="s">
        <v>680</v>
      </c>
      <c r="H122" s="4" t="s">
        <v>47</v>
      </c>
      <c r="I122">
        <f t="shared" si="2"/>
        <v>1410.4</v>
      </c>
      <c r="J122">
        <f t="shared" si="3"/>
        <v>-1410.4</v>
      </c>
    </row>
    <row r="123" spans="1:10" ht="15" customHeight="1" x14ac:dyDescent="0.2">
      <c r="A123" s="3" t="s">
        <v>681</v>
      </c>
      <c r="B123" s="3" t="s">
        <v>682</v>
      </c>
      <c r="C123" s="3" t="s">
        <v>683</v>
      </c>
      <c r="D123" s="3" t="s">
        <v>684</v>
      </c>
      <c r="E123" s="3" t="s">
        <v>685</v>
      </c>
      <c r="F123" s="3" t="s">
        <v>686</v>
      </c>
      <c r="G123" s="3" t="s">
        <v>687</v>
      </c>
      <c r="H123" s="3" t="s">
        <v>47</v>
      </c>
      <c r="I123">
        <f t="shared" si="2"/>
        <v>27358.44</v>
      </c>
      <c r="J123">
        <f t="shared" si="3"/>
        <v>-27358.44</v>
      </c>
    </row>
    <row r="124" spans="1:10" ht="15" customHeight="1" x14ac:dyDescent="0.2">
      <c r="A124" s="4" t="s">
        <v>688</v>
      </c>
      <c r="B124" s="4" t="s">
        <v>689</v>
      </c>
      <c r="C124" s="4" t="s">
        <v>690</v>
      </c>
      <c r="D124" s="4" t="s">
        <v>690</v>
      </c>
      <c r="E124" s="4" t="s">
        <v>691</v>
      </c>
      <c r="F124" s="4" t="s">
        <v>47</v>
      </c>
      <c r="G124" s="4" t="s">
        <v>691</v>
      </c>
      <c r="H124" s="4" t="s">
        <v>47</v>
      </c>
      <c r="I124">
        <f t="shared" si="2"/>
        <v>11929.97</v>
      </c>
      <c r="J124">
        <f t="shared" si="3"/>
        <v>-11929.97</v>
      </c>
    </row>
    <row r="125" spans="1:10" ht="15" customHeight="1" x14ac:dyDescent="0.2">
      <c r="A125" s="3" t="s">
        <v>692</v>
      </c>
      <c r="B125" s="3" t="s">
        <v>693</v>
      </c>
      <c r="C125" s="3" t="s">
        <v>694</v>
      </c>
      <c r="D125" s="3" t="s">
        <v>695</v>
      </c>
      <c r="E125" s="3" t="s">
        <v>47</v>
      </c>
      <c r="F125" s="3" t="s">
        <v>696</v>
      </c>
      <c r="G125" s="3" t="s">
        <v>697</v>
      </c>
      <c r="H125" s="3" t="s">
        <v>47</v>
      </c>
      <c r="I125">
        <f t="shared" si="2"/>
        <v>721.54</v>
      </c>
      <c r="J125">
        <f t="shared" si="3"/>
        <v>-721.54</v>
      </c>
    </row>
    <row r="126" spans="1:10" ht="15" customHeight="1" x14ac:dyDescent="0.2">
      <c r="A126" s="4" t="s">
        <v>698</v>
      </c>
      <c r="B126" s="4" t="s">
        <v>699</v>
      </c>
      <c r="C126" s="4" t="s">
        <v>700</v>
      </c>
      <c r="D126" s="4" t="s">
        <v>701</v>
      </c>
      <c r="E126" s="4" t="s">
        <v>47</v>
      </c>
      <c r="F126" s="4" t="s">
        <v>47</v>
      </c>
      <c r="G126" s="4" t="s">
        <v>702</v>
      </c>
      <c r="H126" s="4" t="s">
        <v>47</v>
      </c>
      <c r="I126">
        <f t="shared" si="2"/>
        <v>130</v>
      </c>
      <c r="J126">
        <f t="shared" si="3"/>
        <v>-130</v>
      </c>
    </row>
    <row r="127" spans="1:10" ht="15" customHeight="1" x14ac:dyDescent="0.2">
      <c r="A127" s="3" t="s">
        <v>703</v>
      </c>
      <c r="B127" s="3" t="s">
        <v>704</v>
      </c>
      <c r="C127" s="3" t="s">
        <v>705</v>
      </c>
      <c r="D127" s="3" t="s">
        <v>706</v>
      </c>
      <c r="E127" s="3" t="s">
        <v>707</v>
      </c>
      <c r="F127" s="3" t="s">
        <v>708</v>
      </c>
      <c r="G127" s="3" t="s">
        <v>709</v>
      </c>
      <c r="H127" s="3" t="s">
        <v>47</v>
      </c>
      <c r="I127">
        <f t="shared" si="2"/>
        <v>8044.86</v>
      </c>
      <c r="J127">
        <f t="shared" si="3"/>
        <v>-8044.86</v>
      </c>
    </row>
    <row r="128" spans="1:10" ht="15" customHeight="1" x14ac:dyDescent="0.2">
      <c r="A128" s="4" t="s">
        <v>710</v>
      </c>
      <c r="B128" s="4" t="s">
        <v>711</v>
      </c>
      <c r="C128" s="4" t="s">
        <v>712</v>
      </c>
      <c r="D128" s="4" t="s">
        <v>713</v>
      </c>
      <c r="E128" s="4" t="s">
        <v>47</v>
      </c>
      <c r="F128" s="4" t="s">
        <v>714</v>
      </c>
      <c r="G128" s="4" t="s">
        <v>715</v>
      </c>
      <c r="H128" s="4" t="s">
        <v>47</v>
      </c>
      <c r="I128">
        <f t="shared" si="2"/>
        <v>8506.31</v>
      </c>
      <c r="J128">
        <f t="shared" si="3"/>
        <v>-8506.31</v>
      </c>
    </row>
    <row r="129" spans="1:10" ht="15" customHeight="1" x14ac:dyDescent="0.2">
      <c r="A129" s="3" t="s">
        <v>716</v>
      </c>
      <c r="B129" s="3" t="s">
        <v>717</v>
      </c>
      <c r="C129" s="3" t="s">
        <v>718</v>
      </c>
      <c r="D129" s="3" t="s">
        <v>719</v>
      </c>
      <c r="E129" s="3" t="s">
        <v>47</v>
      </c>
      <c r="F129" s="3" t="s">
        <v>47</v>
      </c>
      <c r="G129" s="3" t="s">
        <v>720</v>
      </c>
      <c r="H129" s="3" t="s">
        <v>47</v>
      </c>
      <c r="I129">
        <f t="shared" si="2"/>
        <v>293.35000000000002</v>
      </c>
      <c r="J129">
        <f t="shared" si="3"/>
        <v>-293.35000000000002</v>
      </c>
    </row>
    <row r="130" spans="1:10" ht="15" customHeight="1" x14ac:dyDescent="0.2">
      <c r="A130" s="4" t="s">
        <v>721</v>
      </c>
      <c r="B130" s="4" t="s">
        <v>722</v>
      </c>
      <c r="C130" s="4" t="s">
        <v>723</v>
      </c>
      <c r="D130" s="4" t="s">
        <v>724</v>
      </c>
      <c r="E130" s="4" t="s">
        <v>47</v>
      </c>
      <c r="F130" s="4" t="s">
        <v>725</v>
      </c>
      <c r="G130" s="4" t="s">
        <v>726</v>
      </c>
      <c r="H130" s="4" t="s">
        <v>47</v>
      </c>
      <c r="I130">
        <f t="shared" si="2"/>
        <v>18825</v>
      </c>
      <c r="J130">
        <f t="shared" si="3"/>
        <v>-18825</v>
      </c>
    </row>
    <row r="131" spans="1:10" ht="15" customHeight="1" x14ac:dyDescent="0.2">
      <c r="A131" s="3" t="s">
        <v>727</v>
      </c>
      <c r="B131" s="3" t="s">
        <v>728</v>
      </c>
      <c r="C131" s="3" t="s">
        <v>729</v>
      </c>
      <c r="D131" s="3" t="s">
        <v>730</v>
      </c>
      <c r="E131" s="3" t="s">
        <v>47</v>
      </c>
      <c r="F131" s="3" t="s">
        <v>731</v>
      </c>
      <c r="G131" s="3" t="s">
        <v>732</v>
      </c>
      <c r="H131" s="3" t="s">
        <v>47</v>
      </c>
      <c r="I131">
        <f t="shared" si="2"/>
        <v>6714.05</v>
      </c>
      <c r="J131">
        <f t="shared" si="3"/>
        <v>-6714.05</v>
      </c>
    </row>
    <row r="132" spans="1:10" ht="15" customHeight="1" x14ac:dyDescent="0.2">
      <c r="A132" s="4" t="s">
        <v>733</v>
      </c>
      <c r="B132" s="4" t="s">
        <v>734</v>
      </c>
      <c r="C132" s="4" t="s">
        <v>735</v>
      </c>
      <c r="D132" s="4" t="s">
        <v>735</v>
      </c>
      <c r="E132" s="4" t="s">
        <v>736</v>
      </c>
      <c r="F132" s="4" t="s">
        <v>47</v>
      </c>
      <c r="G132" s="4" t="s">
        <v>736</v>
      </c>
      <c r="H132" s="4" t="s">
        <v>47</v>
      </c>
      <c r="I132">
        <f t="shared" ref="I132:I195" si="4">IF(MID(A132,1,1)="1",G132-H132,IF(MID(A132,1,1)="2",H132-G132,"VERIFICAR"))</f>
        <v>25377.5</v>
      </c>
      <c r="J132">
        <f t="shared" ref="J132:J195" si="5">IF(MID(A132,1,1)="1",H132-I132,IF(MID(B132,1,1)="2",I132-H132,IF(MID(A132,1,1)="3",F132-E132,IF(MID(A132,1,1)="4",E132-F132,"VERIFICAR"))))</f>
        <v>-25377.5</v>
      </c>
    </row>
    <row r="133" spans="1:10" ht="15" customHeight="1" x14ac:dyDescent="0.2">
      <c r="A133" s="3" t="s">
        <v>737</v>
      </c>
      <c r="B133" s="3" t="s">
        <v>738</v>
      </c>
      <c r="C133" s="3" t="s">
        <v>739</v>
      </c>
      <c r="D133" s="3" t="s">
        <v>740</v>
      </c>
      <c r="E133" s="3" t="s">
        <v>741</v>
      </c>
      <c r="F133" s="3" t="s">
        <v>742</v>
      </c>
      <c r="G133" s="3" t="s">
        <v>743</v>
      </c>
      <c r="H133" s="3" t="s">
        <v>47</v>
      </c>
      <c r="I133">
        <f t="shared" si="4"/>
        <v>27784.99</v>
      </c>
      <c r="J133">
        <f t="shared" si="5"/>
        <v>-27784.99</v>
      </c>
    </row>
    <row r="134" spans="1:10" ht="15" customHeight="1" x14ac:dyDescent="0.2">
      <c r="A134" s="4" t="s">
        <v>744</v>
      </c>
      <c r="B134" s="4" t="s">
        <v>745</v>
      </c>
      <c r="C134" s="4" t="s">
        <v>746</v>
      </c>
      <c r="D134" s="4" t="s">
        <v>747</v>
      </c>
      <c r="E134" s="4" t="s">
        <v>748</v>
      </c>
      <c r="F134" s="4" t="s">
        <v>748</v>
      </c>
      <c r="G134" s="4" t="s">
        <v>749</v>
      </c>
      <c r="H134" s="4" t="s">
        <v>47</v>
      </c>
      <c r="I134">
        <f t="shared" si="4"/>
        <v>202.23</v>
      </c>
      <c r="J134">
        <f t="shared" si="5"/>
        <v>-202.23</v>
      </c>
    </row>
    <row r="135" spans="1:10" ht="15" customHeight="1" x14ac:dyDescent="0.2">
      <c r="A135" s="3" t="s">
        <v>750</v>
      </c>
      <c r="B135" s="3" t="s">
        <v>751</v>
      </c>
      <c r="C135" s="3" t="s">
        <v>752</v>
      </c>
      <c r="D135" s="3" t="s">
        <v>753</v>
      </c>
      <c r="E135" s="3" t="s">
        <v>47</v>
      </c>
      <c r="F135" s="3" t="s">
        <v>754</v>
      </c>
      <c r="G135" s="3" t="s">
        <v>47</v>
      </c>
      <c r="H135" s="3" t="s">
        <v>47</v>
      </c>
      <c r="I135">
        <f t="shared" si="4"/>
        <v>0</v>
      </c>
      <c r="J135">
        <f t="shared" si="5"/>
        <v>0</v>
      </c>
    </row>
    <row r="136" spans="1:10" ht="15" customHeight="1" x14ac:dyDescent="0.2">
      <c r="A136" s="4" t="s">
        <v>755</v>
      </c>
      <c r="B136" s="4" t="s">
        <v>756</v>
      </c>
      <c r="C136" s="4" t="s">
        <v>757</v>
      </c>
      <c r="D136" s="4" t="s">
        <v>757</v>
      </c>
      <c r="E136" s="4" t="s">
        <v>758</v>
      </c>
      <c r="F136" s="4" t="s">
        <v>47</v>
      </c>
      <c r="G136" s="4" t="s">
        <v>758</v>
      </c>
      <c r="H136" s="4" t="s">
        <v>47</v>
      </c>
      <c r="I136">
        <f t="shared" si="4"/>
        <v>9991.5499999999993</v>
      </c>
      <c r="J136">
        <f t="shared" si="5"/>
        <v>-9991.5499999999993</v>
      </c>
    </row>
    <row r="137" spans="1:10" ht="15" customHeight="1" x14ac:dyDescent="0.2">
      <c r="A137" s="3" t="s">
        <v>759</v>
      </c>
      <c r="B137" s="3" t="s">
        <v>760</v>
      </c>
      <c r="C137" s="3" t="s">
        <v>761</v>
      </c>
      <c r="D137" s="3" t="s">
        <v>762</v>
      </c>
      <c r="E137" s="3" t="s">
        <v>47</v>
      </c>
      <c r="F137" s="3" t="s">
        <v>47</v>
      </c>
      <c r="G137" s="3" t="s">
        <v>763</v>
      </c>
      <c r="H137" s="3" t="s">
        <v>47</v>
      </c>
      <c r="I137">
        <f t="shared" si="4"/>
        <v>10537.09</v>
      </c>
      <c r="J137">
        <f t="shared" si="5"/>
        <v>-10537.09</v>
      </c>
    </row>
    <row r="138" spans="1:10" ht="15" customHeight="1" x14ac:dyDescent="0.2">
      <c r="A138" s="4" t="s">
        <v>764</v>
      </c>
      <c r="B138" s="4" t="s">
        <v>765</v>
      </c>
      <c r="C138" s="4" t="s">
        <v>766</v>
      </c>
      <c r="D138" s="4" t="s">
        <v>766</v>
      </c>
      <c r="E138" s="4" t="s">
        <v>767</v>
      </c>
      <c r="F138" s="4" t="s">
        <v>47</v>
      </c>
      <c r="G138" s="4" t="s">
        <v>767</v>
      </c>
      <c r="H138" s="4" t="s">
        <v>47</v>
      </c>
      <c r="I138">
        <f t="shared" si="4"/>
        <v>831.14</v>
      </c>
      <c r="J138">
        <f t="shared" si="5"/>
        <v>-831.14</v>
      </c>
    </row>
    <row r="139" spans="1:10" ht="15" customHeight="1" x14ac:dyDescent="0.2">
      <c r="A139" s="3" t="s">
        <v>768</v>
      </c>
      <c r="B139" s="3" t="s">
        <v>769</v>
      </c>
      <c r="C139" s="3" t="s">
        <v>770</v>
      </c>
      <c r="D139" s="3" t="s">
        <v>771</v>
      </c>
      <c r="E139" s="3" t="s">
        <v>772</v>
      </c>
      <c r="F139" s="3" t="s">
        <v>773</v>
      </c>
      <c r="G139" s="3" t="s">
        <v>774</v>
      </c>
      <c r="H139" s="3" t="s">
        <v>47</v>
      </c>
      <c r="I139">
        <f t="shared" si="4"/>
        <v>18252.689999999999</v>
      </c>
      <c r="J139">
        <f t="shared" si="5"/>
        <v>-18252.689999999999</v>
      </c>
    </row>
    <row r="140" spans="1:10" ht="15" customHeight="1" x14ac:dyDescent="0.2">
      <c r="A140" s="4" t="s">
        <v>775</v>
      </c>
      <c r="B140" s="4" t="s">
        <v>776</v>
      </c>
      <c r="C140" s="4" t="s">
        <v>777</v>
      </c>
      <c r="D140" s="4" t="s">
        <v>778</v>
      </c>
      <c r="E140" s="4" t="s">
        <v>47</v>
      </c>
      <c r="F140" s="4" t="s">
        <v>779</v>
      </c>
      <c r="G140" s="4" t="s">
        <v>47</v>
      </c>
      <c r="H140" s="4" t="s">
        <v>47</v>
      </c>
      <c r="I140">
        <f t="shared" si="4"/>
        <v>0</v>
      </c>
      <c r="J140">
        <f t="shared" si="5"/>
        <v>0</v>
      </c>
    </row>
    <row r="141" spans="1:10" ht="15" customHeight="1" x14ac:dyDescent="0.2">
      <c r="A141" s="3" t="s">
        <v>780</v>
      </c>
      <c r="B141" s="3" t="s">
        <v>781</v>
      </c>
      <c r="C141" s="3" t="s">
        <v>782</v>
      </c>
      <c r="D141" s="3" t="s">
        <v>783</v>
      </c>
      <c r="E141" s="3" t="s">
        <v>784</v>
      </c>
      <c r="F141" s="3" t="s">
        <v>47</v>
      </c>
      <c r="G141" s="3" t="s">
        <v>785</v>
      </c>
      <c r="H141" s="3" t="s">
        <v>47</v>
      </c>
      <c r="I141">
        <f t="shared" si="4"/>
        <v>4383.84</v>
      </c>
      <c r="J141">
        <f t="shared" si="5"/>
        <v>-4383.84</v>
      </c>
    </row>
    <row r="142" spans="1:10" ht="15" customHeight="1" x14ac:dyDescent="0.2">
      <c r="A142" s="4" t="s">
        <v>786</v>
      </c>
      <c r="B142" s="4" t="s">
        <v>787</v>
      </c>
      <c r="C142" s="4" t="s">
        <v>788</v>
      </c>
      <c r="D142" s="4" t="s">
        <v>789</v>
      </c>
      <c r="E142" s="4" t="s">
        <v>790</v>
      </c>
      <c r="F142" s="4" t="s">
        <v>791</v>
      </c>
      <c r="G142" s="4" t="s">
        <v>792</v>
      </c>
      <c r="H142" s="4" t="s">
        <v>47</v>
      </c>
      <c r="I142">
        <f t="shared" si="4"/>
        <v>12300.77</v>
      </c>
      <c r="J142">
        <f t="shared" si="5"/>
        <v>-12300.77</v>
      </c>
    </row>
    <row r="143" spans="1:10" ht="15" customHeight="1" x14ac:dyDescent="0.2">
      <c r="A143" s="3" t="s">
        <v>793</v>
      </c>
      <c r="B143" s="3" t="s">
        <v>794</v>
      </c>
      <c r="C143" s="3" t="s">
        <v>795</v>
      </c>
      <c r="D143" s="3" t="s">
        <v>796</v>
      </c>
      <c r="E143" s="3" t="s">
        <v>47</v>
      </c>
      <c r="F143" s="3" t="s">
        <v>797</v>
      </c>
      <c r="G143" s="3" t="s">
        <v>798</v>
      </c>
      <c r="H143" s="3" t="s">
        <v>47</v>
      </c>
      <c r="I143">
        <f t="shared" si="4"/>
        <v>5351.55</v>
      </c>
      <c r="J143">
        <f t="shared" si="5"/>
        <v>-5351.55</v>
      </c>
    </row>
    <row r="144" spans="1:10" ht="15" customHeight="1" x14ac:dyDescent="0.2">
      <c r="A144" s="4" t="s">
        <v>799</v>
      </c>
      <c r="B144" s="4" t="s">
        <v>800</v>
      </c>
      <c r="C144" s="4" t="s">
        <v>801</v>
      </c>
      <c r="D144" s="4" t="s">
        <v>801</v>
      </c>
      <c r="E144" s="4" t="s">
        <v>802</v>
      </c>
      <c r="F144" s="4" t="s">
        <v>803</v>
      </c>
      <c r="G144" s="4" t="s">
        <v>804</v>
      </c>
      <c r="H144" s="4" t="s">
        <v>47</v>
      </c>
      <c r="I144">
        <f t="shared" si="4"/>
        <v>10000</v>
      </c>
      <c r="J144">
        <f t="shared" si="5"/>
        <v>-10000</v>
      </c>
    </row>
    <row r="145" spans="1:10" ht="15" customHeight="1" x14ac:dyDescent="0.2">
      <c r="A145" s="3" t="s">
        <v>805</v>
      </c>
      <c r="B145" s="3" t="s">
        <v>806</v>
      </c>
      <c r="C145" s="3" t="s">
        <v>807</v>
      </c>
      <c r="D145" s="3" t="s">
        <v>808</v>
      </c>
      <c r="E145" s="3" t="s">
        <v>47</v>
      </c>
      <c r="F145" s="3" t="s">
        <v>47</v>
      </c>
      <c r="G145" s="3" t="s">
        <v>47</v>
      </c>
      <c r="H145" s="3" t="s">
        <v>394</v>
      </c>
      <c r="I145">
        <f t="shared" si="4"/>
        <v>-0.01</v>
      </c>
      <c r="J145">
        <f t="shared" si="5"/>
        <v>0.02</v>
      </c>
    </row>
    <row r="146" spans="1:10" ht="15" customHeight="1" x14ac:dyDescent="0.2">
      <c r="A146" s="4" t="s">
        <v>809</v>
      </c>
      <c r="B146" s="4" t="s">
        <v>810</v>
      </c>
      <c r="C146" s="4" t="s">
        <v>811</v>
      </c>
      <c r="D146" s="4" t="s">
        <v>812</v>
      </c>
      <c r="E146" s="4" t="s">
        <v>47</v>
      </c>
      <c r="F146" s="4" t="s">
        <v>813</v>
      </c>
      <c r="G146" s="4" t="s">
        <v>47</v>
      </c>
      <c r="H146" s="4" t="s">
        <v>47</v>
      </c>
      <c r="I146">
        <f t="shared" si="4"/>
        <v>0</v>
      </c>
      <c r="J146">
        <f t="shared" si="5"/>
        <v>0</v>
      </c>
    </row>
    <row r="147" spans="1:10" ht="15" customHeight="1" x14ac:dyDescent="0.2">
      <c r="A147" s="3" t="s">
        <v>814</v>
      </c>
      <c r="B147" s="3" t="s">
        <v>815</v>
      </c>
      <c r="C147" s="3" t="s">
        <v>816</v>
      </c>
      <c r="D147" s="3" t="s">
        <v>816</v>
      </c>
      <c r="E147" s="3" t="s">
        <v>817</v>
      </c>
      <c r="F147" s="3" t="s">
        <v>47</v>
      </c>
      <c r="G147" s="3" t="s">
        <v>817</v>
      </c>
      <c r="H147" s="3" t="s">
        <v>47</v>
      </c>
      <c r="I147">
        <f t="shared" si="4"/>
        <v>6788.52</v>
      </c>
      <c r="J147">
        <f t="shared" si="5"/>
        <v>-6788.52</v>
      </c>
    </row>
    <row r="148" spans="1:10" ht="15" customHeight="1" x14ac:dyDescent="0.2">
      <c r="A148" s="4" t="s">
        <v>818</v>
      </c>
      <c r="B148" s="4" t="s">
        <v>819</v>
      </c>
      <c r="C148" s="4" t="s">
        <v>820</v>
      </c>
      <c r="D148" s="4" t="s">
        <v>821</v>
      </c>
      <c r="E148" s="4" t="s">
        <v>822</v>
      </c>
      <c r="F148" s="4" t="s">
        <v>823</v>
      </c>
      <c r="G148" s="4" t="s">
        <v>822</v>
      </c>
      <c r="H148" s="4" t="s">
        <v>47</v>
      </c>
      <c r="I148">
        <f t="shared" si="4"/>
        <v>25504.57</v>
      </c>
      <c r="J148">
        <f t="shared" si="5"/>
        <v>-25504.57</v>
      </c>
    </row>
    <row r="149" spans="1:10" ht="15" customHeight="1" x14ac:dyDescent="0.2">
      <c r="A149" s="3" t="s">
        <v>824</v>
      </c>
      <c r="B149" s="3" t="s">
        <v>825</v>
      </c>
      <c r="C149" s="3" t="s">
        <v>826</v>
      </c>
      <c r="D149" s="3" t="s">
        <v>827</v>
      </c>
      <c r="E149" s="3" t="s">
        <v>47</v>
      </c>
      <c r="F149" s="3" t="s">
        <v>828</v>
      </c>
      <c r="G149" s="3" t="s">
        <v>829</v>
      </c>
      <c r="H149" s="3" t="s">
        <v>47</v>
      </c>
      <c r="I149">
        <f t="shared" si="4"/>
        <v>18206.43</v>
      </c>
      <c r="J149">
        <f t="shared" si="5"/>
        <v>-18206.43</v>
      </c>
    </row>
    <row r="150" spans="1:10" ht="15" customHeight="1" x14ac:dyDescent="0.2">
      <c r="A150" s="4" t="s">
        <v>830</v>
      </c>
      <c r="B150" s="4" t="s">
        <v>831</v>
      </c>
      <c r="C150" s="4" t="s">
        <v>832</v>
      </c>
      <c r="D150" s="4" t="s">
        <v>832</v>
      </c>
      <c r="E150" s="4" t="s">
        <v>833</v>
      </c>
      <c r="F150" s="4" t="s">
        <v>47</v>
      </c>
      <c r="G150" s="4" t="s">
        <v>833</v>
      </c>
      <c r="H150" s="4" t="s">
        <v>47</v>
      </c>
      <c r="I150">
        <f t="shared" si="4"/>
        <v>3887.33</v>
      </c>
      <c r="J150">
        <f t="shared" si="5"/>
        <v>-3887.33</v>
      </c>
    </row>
    <row r="151" spans="1:10" ht="15" customHeight="1" x14ac:dyDescent="0.2">
      <c r="A151" s="3" t="s">
        <v>834</v>
      </c>
      <c r="B151" s="3" t="s">
        <v>835</v>
      </c>
      <c r="C151" s="3" t="s">
        <v>836</v>
      </c>
      <c r="D151" s="3" t="s">
        <v>837</v>
      </c>
      <c r="E151" s="3" t="s">
        <v>47</v>
      </c>
      <c r="F151" s="3" t="s">
        <v>47</v>
      </c>
      <c r="G151" s="3" t="s">
        <v>838</v>
      </c>
      <c r="H151" s="3" t="s">
        <v>47</v>
      </c>
      <c r="I151">
        <f t="shared" si="4"/>
        <v>10065</v>
      </c>
      <c r="J151">
        <f t="shared" si="5"/>
        <v>-10065</v>
      </c>
    </row>
    <row r="152" spans="1:10" ht="15" customHeight="1" x14ac:dyDescent="0.2">
      <c r="A152" s="4" t="s">
        <v>839</v>
      </c>
      <c r="B152" s="4" t="s">
        <v>840</v>
      </c>
      <c r="C152" s="4" t="s">
        <v>841</v>
      </c>
      <c r="D152" s="4" t="s">
        <v>842</v>
      </c>
      <c r="E152" s="4" t="s">
        <v>843</v>
      </c>
      <c r="F152" s="4" t="s">
        <v>844</v>
      </c>
      <c r="G152" s="4" t="s">
        <v>843</v>
      </c>
      <c r="H152" s="4" t="s">
        <v>47</v>
      </c>
      <c r="I152">
        <f t="shared" si="4"/>
        <v>3479.54</v>
      </c>
      <c r="J152">
        <f t="shared" si="5"/>
        <v>-3479.54</v>
      </c>
    </row>
    <row r="153" spans="1:10" ht="15" customHeight="1" x14ac:dyDescent="0.2">
      <c r="A153" s="3" t="s">
        <v>845</v>
      </c>
      <c r="B153" s="3" t="s">
        <v>846</v>
      </c>
      <c r="C153" s="3" t="s">
        <v>847</v>
      </c>
      <c r="D153" s="3" t="s">
        <v>848</v>
      </c>
      <c r="E153" s="3" t="s">
        <v>849</v>
      </c>
      <c r="F153" s="3" t="s">
        <v>850</v>
      </c>
      <c r="G153" s="3" t="s">
        <v>851</v>
      </c>
      <c r="H153" s="3" t="s">
        <v>47</v>
      </c>
      <c r="I153">
        <f t="shared" si="4"/>
        <v>22630.76</v>
      </c>
      <c r="J153">
        <f t="shared" si="5"/>
        <v>-22630.76</v>
      </c>
    </row>
    <row r="154" spans="1:10" ht="15" customHeight="1" x14ac:dyDescent="0.2">
      <c r="A154" s="4" t="s">
        <v>852</v>
      </c>
      <c r="B154" s="4" t="s">
        <v>853</v>
      </c>
      <c r="C154" s="4" t="s">
        <v>854</v>
      </c>
      <c r="D154" s="4" t="s">
        <v>854</v>
      </c>
      <c r="E154" s="4" t="s">
        <v>855</v>
      </c>
      <c r="F154" s="4" t="s">
        <v>855</v>
      </c>
      <c r="G154" s="4" t="s">
        <v>47</v>
      </c>
      <c r="H154" s="4" t="s">
        <v>47</v>
      </c>
      <c r="I154">
        <f t="shared" si="4"/>
        <v>0</v>
      </c>
      <c r="J154">
        <f t="shared" si="5"/>
        <v>0</v>
      </c>
    </row>
    <row r="155" spans="1:10" ht="15" customHeight="1" x14ac:dyDescent="0.2">
      <c r="A155" s="3" t="s">
        <v>856</v>
      </c>
      <c r="B155" s="3" t="s">
        <v>857</v>
      </c>
      <c r="C155" s="3" t="s">
        <v>858</v>
      </c>
      <c r="D155" s="3" t="s">
        <v>859</v>
      </c>
      <c r="E155" s="3" t="s">
        <v>47</v>
      </c>
      <c r="F155" s="3" t="s">
        <v>860</v>
      </c>
      <c r="G155" s="3" t="s">
        <v>47</v>
      </c>
      <c r="H155" s="3" t="s">
        <v>47</v>
      </c>
      <c r="I155">
        <f t="shared" si="4"/>
        <v>0</v>
      </c>
      <c r="J155">
        <f t="shared" si="5"/>
        <v>0</v>
      </c>
    </row>
    <row r="156" spans="1:10" ht="15" customHeight="1" x14ac:dyDescent="0.2">
      <c r="A156" s="4" t="s">
        <v>861</v>
      </c>
      <c r="B156" s="4" t="s">
        <v>862</v>
      </c>
      <c r="C156" s="4" t="s">
        <v>863</v>
      </c>
      <c r="D156" s="4" t="s">
        <v>864</v>
      </c>
      <c r="E156" s="4" t="s">
        <v>47</v>
      </c>
      <c r="F156" s="4" t="s">
        <v>865</v>
      </c>
      <c r="G156" s="4" t="s">
        <v>866</v>
      </c>
      <c r="H156" s="4" t="s">
        <v>47</v>
      </c>
      <c r="I156">
        <f t="shared" si="4"/>
        <v>3537</v>
      </c>
      <c r="J156">
        <f t="shared" si="5"/>
        <v>-3537</v>
      </c>
    </row>
    <row r="157" spans="1:10" ht="15" customHeight="1" x14ac:dyDescent="0.2">
      <c r="A157" s="3" t="s">
        <v>867</v>
      </c>
      <c r="B157" s="3" t="s">
        <v>868</v>
      </c>
      <c r="C157" s="3" t="s">
        <v>869</v>
      </c>
      <c r="D157" s="3" t="s">
        <v>870</v>
      </c>
      <c r="E157" s="3" t="s">
        <v>47</v>
      </c>
      <c r="F157" s="3" t="s">
        <v>871</v>
      </c>
      <c r="G157" s="3" t="s">
        <v>872</v>
      </c>
      <c r="H157" s="3" t="s">
        <v>47</v>
      </c>
      <c r="I157">
        <f t="shared" si="4"/>
        <v>359.34</v>
      </c>
      <c r="J157">
        <f t="shared" si="5"/>
        <v>-359.34</v>
      </c>
    </row>
    <row r="158" spans="1:10" ht="15" customHeight="1" x14ac:dyDescent="0.2">
      <c r="A158" s="4" t="s">
        <v>873</v>
      </c>
      <c r="B158" s="4" t="s">
        <v>874</v>
      </c>
      <c r="C158" s="4" t="s">
        <v>875</v>
      </c>
      <c r="D158" s="4" t="s">
        <v>876</v>
      </c>
      <c r="E158" s="4" t="s">
        <v>47</v>
      </c>
      <c r="F158" s="4" t="s">
        <v>47</v>
      </c>
      <c r="G158" s="4" t="s">
        <v>47</v>
      </c>
      <c r="H158" s="4" t="s">
        <v>394</v>
      </c>
      <c r="I158">
        <f t="shared" si="4"/>
        <v>-0.01</v>
      </c>
      <c r="J158">
        <f t="shared" si="5"/>
        <v>0.02</v>
      </c>
    </row>
    <row r="159" spans="1:10" ht="15" customHeight="1" x14ac:dyDescent="0.2">
      <c r="A159" s="3" t="s">
        <v>877</v>
      </c>
      <c r="B159" s="3" t="s">
        <v>878</v>
      </c>
      <c r="C159" s="3" t="s">
        <v>879</v>
      </c>
      <c r="D159" s="3" t="s">
        <v>879</v>
      </c>
      <c r="E159" s="3" t="s">
        <v>880</v>
      </c>
      <c r="F159" s="3" t="s">
        <v>47</v>
      </c>
      <c r="G159" s="3" t="s">
        <v>880</v>
      </c>
      <c r="H159" s="3" t="s">
        <v>47</v>
      </c>
      <c r="I159">
        <f t="shared" si="4"/>
        <v>13609.75</v>
      </c>
      <c r="J159">
        <f t="shared" si="5"/>
        <v>-13609.75</v>
      </c>
    </row>
    <row r="160" spans="1:10" ht="15" customHeight="1" x14ac:dyDescent="0.2">
      <c r="A160" s="4" t="s">
        <v>881</v>
      </c>
      <c r="B160" s="4" t="s">
        <v>882</v>
      </c>
      <c r="C160" s="4" t="s">
        <v>883</v>
      </c>
      <c r="D160" s="4" t="s">
        <v>884</v>
      </c>
      <c r="E160" s="4" t="s">
        <v>47</v>
      </c>
      <c r="F160" s="4" t="s">
        <v>47</v>
      </c>
      <c r="G160" s="4" t="s">
        <v>47</v>
      </c>
      <c r="H160" s="4" t="s">
        <v>885</v>
      </c>
      <c r="I160">
        <f t="shared" si="4"/>
        <v>-0.62</v>
      </c>
      <c r="J160">
        <f t="shared" si="5"/>
        <v>1.24</v>
      </c>
    </row>
    <row r="161" spans="1:10" ht="15" customHeight="1" x14ac:dyDescent="0.2">
      <c r="A161" s="3" t="s">
        <v>886</v>
      </c>
      <c r="B161" s="3" t="s">
        <v>887</v>
      </c>
      <c r="C161" s="3" t="s">
        <v>888</v>
      </c>
      <c r="D161" s="3" t="s">
        <v>889</v>
      </c>
      <c r="E161" s="3" t="s">
        <v>47</v>
      </c>
      <c r="F161" s="3" t="s">
        <v>890</v>
      </c>
      <c r="G161" s="3" t="s">
        <v>47</v>
      </c>
      <c r="H161" s="3" t="s">
        <v>47</v>
      </c>
      <c r="I161">
        <f t="shared" si="4"/>
        <v>0</v>
      </c>
      <c r="J161">
        <f t="shared" si="5"/>
        <v>0</v>
      </c>
    </row>
    <row r="162" spans="1:10" ht="15" customHeight="1" x14ac:dyDescent="0.2">
      <c r="A162" s="4" t="s">
        <v>891</v>
      </c>
      <c r="B162" s="4" t="s">
        <v>892</v>
      </c>
      <c r="C162" s="4" t="s">
        <v>893</v>
      </c>
      <c r="D162" s="4" t="s">
        <v>894</v>
      </c>
      <c r="E162" s="4" t="s">
        <v>47</v>
      </c>
      <c r="F162" s="4" t="s">
        <v>895</v>
      </c>
      <c r="G162" s="4" t="s">
        <v>896</v>
      </c>
      <c r="H162" s="4" t="s">
        <v>47</v>
      </c>
      <c r="I162">
        <f t="shared" si="4"/>
        <v>2099.11</v>
      </c>
      <c r="J162">
        <f t="shared" si="5"/>
        <v>-2099.11</v>
      </c>
    </row>
    <row r="163" spans="1:10" ht="15" customHeight="1" x14ac:dyDescent="0.2">
      <c r="A163" s="3" t="s">
        <v>897</v>
      </c>
      <c r="B163" s="3" t="s">
        <v>898</v>
      </c>
      <c r="C163" s="3" t="s">
        <v>899</v>
      </c>
      <c r="D163" s="3" t="s">
        <v>900</v>
      </c>
      <c r="E163" s="3" t="s">
        <v>47</v>
      </c>
      <c r="F163" s="3" t="s">
        <v>47</v>
      </c>
      <c r="G163" s="3" t="s">
        <v>901</v>
      </c>
      <c r="H163" s="3" t="s">
        <v>47</v>
      </c>
      <c r="I163">
        <f t="shared" si="4"/>
        <v>39535.82</v>
      </c>
      <c r="J163">
        <f t="shared" si="5"/>
        <v>-39535.82</v>
      </c>
    </row>
    <row r="164" spans="1:10" ht="15" customHeight="1" x14ac:dyDescent="0.2">
      <c r="A164" s="4" t="s">
        <v>902</v>
      </c>
      <c r="B164" s="4" t="s">
        <v>903</v>
      </c>
      <c r="C164" s="4" t="s">
        <v>904</v>
      </c>
      <c r="D164" s="4" t="s">
        <v>905</v>
      </c>
      <c r="E164" s="4" t="s">
        <v>47</v>
      </c>
      <c r="F164" s="4" t="s">
        <v>47</v>
      </c>
      <c r="G164" s="4" t="s">
        <v>47</v>
      </c>
      <c r="H164" s="4" t="s">
        <v>394</v>
      </c>
      <c r="I164">
        <f t="shared" si="4"/>
        <v>-0.01</v>
      </c>
      <c r="J164">
        <f t="shared" si="5"/>
        <v>0.02</v>
      </c>
    </row>
    <row r="165" spans="1:10" ht="15" customHeight="1" x14ac:dyDescent="0.2">
      <c r="A165" s="3" t="s">
        <v>906</v>
      </c>
      <c r="B165" s="3" t="s">
        <v>907</v>
      </c>
      <c r="C165" s="3" t="s">
        <v>908</v>
      </c>
      <c r="D165" s="3" t="s">
        <v>909</v>
      </c>
      <c r="E165" s="3" t="s">
        <v>47</v>
      </c>
      <c r="F165" s="3" t="s">
        <v>47</v>
      </c>
      <c r="G165" s="3" t="s">
        <v>910</v>
      </c>
      <c r="H165" s="3" t="s">
        <v>47</v>
      </c>
      <c r="I165">
        <f t="shared" si="4"/>
        <v>11992.5</v>
      </c>
      <c r="J165">
        <f t="shared" si="5"/>
        <v>-11992.5</v>
      </c>
    </row>
    <row r="166" spans="1:10" ht="15" customHeight="1" x14ac:dyDescent="0.2">
      <c r="A166" s="4" t="s">
        <v>911</v>
      </c>
      <c r="B166" s="4" t="s">
        <v>912</v>
      </c>
      <c r="C166" s="4" t="s">
        <v>913</v>
      </c>
      <c r="D166" s="4" t="s">
        <v>914</v>
      </c>
      <c r="E166" s="4" t="s">
        <v>47</v>
      </c>
      <c r="F166" s="4" t="s">
        <v>47</v>
      </c>
      <c r="G166" s="4" t="s">
        <v>915</v>
      </c>
      <c r="H166" s="4" t="s">
        <v>47</v>
      </c>
      <c r="I166">
        <f t="shared" si="4"/>
        <v>200</v>
      </c>
      <c r="J166">
        <f t="shared" si="5"/>
        <v>-200</v>
      </c>
    </row>
    <row r="167" spans="1:10" ht="15" customHeight="1" x14ac:dyDescent="0.2">
      <c r="A167" s="3" t="s">
        <v>916</v>
      </c>
      <c r="B167" s="3" t="s">
        <v>917</v>
      </c>
      <c r="C167" s="3" t="s">
        <v>918</v>
      </c>
      <c r="D167" s="3" t="s">
        <v>919</v>
      </c>
      <c r="E167" s="3" t="s">
        <v>47</v>
      </c>
      <c r="F167" s="3" t="s">
        <v>47</v>
      </c>
      <c r="G167" s="3" t="s">
        <v>920</v>
      </c>
      <c r="H167" s="3" t="s">
        <v>47</v>
      </c>
      <c r="I167">
        <f t="shared" si="4"/>
        <v>8731.6299999999992</v>
      </c>
      <c r="J167">
        <f t="shared" si="5"/>
        <v>-8731.6299999999992</v>
      </c>
    </row>
    <row r="168" spans="1:10" ht="15" customHeight="1" x14ac:dyDescent="0.2">
      <c r="A168" s="4" t="s">
        <v>921</v>
      </c>
      <c r="B168" s="4" t="s">
        <v>922</v>
      </c>
      <c r="C168" s="4" t="s">
        <v>923</v>
      </c>
      <c r="D168" s="4" t="s">
        <v>924</v>
      </c>
      <c r="E168" s="4" t="s">
        <v>925</v>
      </c>
      <c r="F168" s="4" t="s">
        <v>926</v>
      </c>
      <c r="G168" s="4" t="s">
        <v>927</v>
      </c>
      <c r="H168" s="4" t="s">
        <v>47</v>
      </c>
      <c r="I168">
        <f t="shared" si="4"/>
        <v>2515</v>
      </c>
      <c r="J168">
        <f t="shared" si="5"/>
        <v>-2515</v>
      </c>
    </row>
    <row r="169" spans="1:10" ht="15" customHeight="1" x14ac:dyDescent="0.2">
      <c r="A169" s="3" t="s">
        <v>928</v>
      </c>
      <c r="B169" s="3" t="s">
        <v>929</v>
      </c>
      <c r="C169" s="3" t="s">
        <v>930</v>
      </c>
      <c r="D169" s="3" t="s">
        <v>931</v>
      </c>
      <c r="E169" s="3" t="s">
        <v>47</v>
      </c>
      <c r="F169" s="3" t="s">
        <v>932</v>
      </c>
      <c r="G169" s="3" t="s">
        <v>47</v>
      </c>
      <c r="H169" s="3" t="s">
        <v>47</v>
      </c>
      <c r="I169">
        <f t="shared" si="4"/>
        <v>0</v>
      </c>
      <c r="J169">
        <f t="shared" si="5"/>
        <v>0</v>
      </c>
    </row>
    <row r="170" spans="1:10" ht="15" customHeight="1" x14ac:dyDescent="0.2">
      <c r="A170" s="4" t="s">
        <v>933</v>
      </c>
      <c r="B170" s="4" t="s">
        <v>934</v>
      </c>
      <c r="C170" s="4" t="s">
        <v>935</v>
      </c>
      <c r="D170" s="4" t="s">
        <v>936</v>
      </c>
      <c r="E170" s="4" t="s">
        <v>937</v>
      </c>
      <c r="F170" s="4" t="s">
        <v>938</v>
      </c>
      <c r="G170" s="4" t="s">
        <v>939</v>
      </c>
      <c r="H170" s="4" t="s">
        <v>47</v>
      </c>
      <c r="I170">
        <f t="shared" si="4"/>
        <v>82368.36</v>
      </c>
      <c r="J170">
        <f t="shared" si="5"/>
        <v>-82368.36</v>
      </c>
    </row>
    <row r="171" spans="1:10" ht="15" customHeight="1" x14ac:dyDescent="0.2">
      <c r="A171" s="3" t="s">
        <v>940</v>
      </c>
      <c r="B171" s="3" t="s">
        <v>941</v>
      </c>
      <c r="C171" s="3" t="s">
        <v>942</v>
      </c>
      <c r="D171" s="3" t="s">
        <v>943</v>
      </c>
      <c r="E171" s="3" t="s">
        <v>47</v>
      </c>
      <c r="F171" s="3" t="s">
        <v>944</v>
      </c>
      <c r="G171" s="3" t="s">
        <v>945</v>
      </c>
      <c r="H171" s="3" t="s">
        <v>47</v>
      </c>
      <c r="I171">
        <f t="shared" si="4"/>
        <v>7800</v>
      </c>
      <c r="J171">
        <f t="shared" si="5"/>
        <v>-7800</v>
      </c>
    </row>
    <row r="172" spans="1:10" ht="15" customHeight="1" x14ac:dyDescent="0.2">
      <c r="A172" s="4" t="s">
        <v>946</v>
      </c>
      <c r="B172" s="4" t="s">
        <v>947</v>
      </c>
      <c r="C172" s="4" t="s">
        <v>948</v>
      </c>
      <c r="D172" s="4" t="s">
        <v>949</v>
      </c>
      <c r="E172" s="4" t="s">
        <v>47</v>
      </c>
      <c r="F172" s="4" t="s">
        <v>950</v>
      </c>
      <c r="G172" s="4" t="s">
        <v>951</v>
      </c>
      <c r="H172" s="4" t="s">
        <v>47</v>
      </c>
      <c r="I172">
        <f t="shared" si="4"/>
        <v>1738.13</v>
      </c>
      <c r="J172">
        <f t="shared" si="5"/>
        <v>-1738.13</v>
      </c>
    </row>
    <row r="173" spans="1:10" ht="15" customHeight="1" x14ac:dyDescent="0.2">
      <c r="A173" s="3" t="s">
        <v>952</v>
      </c>
      <c r="B173" s="3" t="s">
        <v>953</v>
      </c>
      <c r="C173" s="3" t="s">
        <v>954</v>
      </c>
      <c r="D173" s="3" t="s">
        <v>955</v>
      </c>
      <c r="E173" s="3" t="s">
        <v>956</v>
      </c>
      <c r="F173" s="3" t="s">
        <v>957</v>
      </c>
      <c r="G173" s="3" t="s">
        <v>958</v>
      </c>
      <c r="H173" s="3" t="s">
        <v>47</v>
      </c>
      <c r="I173">
        <f t="shared" si="4"/>
        <v>39151.839999999997</v>
      </c>
      <c r="J173">
        <f t="shared" si="5"/>
        <v>-39151.839999999997</v>
      </c>
    </row>
    <row r="174" spans="1:10" ht="15" customHeight="1" x14ac:dyDescent="0.2">
      <c r="A174" s="4" t="s">
        <v>959</v>
      </c>
      <c r="B174" s="4" t="s">
        <v>960</v>
      </c>
      <c r="C174" s="4" t="s">
        <v>961</v>
      </c>
      <c r="D174" s="4" t="s">
        <v>962</v>
      </c>
      <c r="E174" s="4" t="s">
        <v>47</v>
      </c>
      <c r="F174" s="4" t="s">
        <v>47</v>
      </c>
      <c r="G174" s="4" t="s">
        <v>963</v>
      </c>
      <c r="H174" s="4" t="s">
        <v>47</v>
      </c>
      <c r="I174">
        <f t="shared" si="4"/>
        <v>350</v>
      </c>
      <c r="J174">
        <f t="shared" si="5"/>
        <v>-350</v>
      </c>
    </row>
    <row r="175" spans="1:10" ht="15" customHeight="1" x14ac:dyDescent="0.2">
      <c r="A175" s="3" t="s">
        <v>964</v>
      </c>
      <c r="B175" s="3" t="s">
        <v>965</v>
      </c>
      <c r="C175" s="3" t="s">
        <v>966</v>
      </c>
      <c r="D175" s="3" t="s">
        <v>967</v>
      </c>
      <c r="E175" s="3" t="s">
        <v>47</v>
      </c>
      <c r="F175" s="3" t="s">
        <v>47</v>
      </c>
      <c r="G175" s="3" t="s">
        <v>639</v>
      </c>
      <c r="H175" s="3" t="s">
        <v>47</v>
      </c>
      <c r="I175">
        <f t="shared" si="4"/>
        <v>500</v>
      </c>
      <c r="J175">
        <f t="shared" si="5"/>
        <v>-500</v>
      </c>
    </row>
    <row r="176" spans="1:10" ht="15" customHeight="1" x14ac:dyDescent="0.2">
      <c r="A176" s="4" t="s">
        <v>968</v>
      </c>
      <c r="B176" s="4" t="s">
        <v>969</v>
      </c>
      <c r="C176" s="4" t="s">
        <v>970</v>
      </c>
      <c r="D176" s="4" t="s">
        <v>971</v>
      </c>
      <c r="E176" s="4" t="s">
        <v>47</v>
      </c>
      <c r="F176" s="4" t="s">
        <v>972</v>
      </c>
      <c r="G176" s="4" t="s">
        <v>47</v>
      </c>
      <c r="H176" s="4" t="s">
        <v>47</v>
      </c>
      <c r="I176">
        <f t="shared" si="4"/>
        <v>0</v>
      </c>
      <c r="J176">
        <f t="shared" si="5"/>
        <v>0</v>
      </c>
    </row>
    <row r="177" spans="1:10" ht="15" customHeight="1" x14ac:dyDescent="0.2">
      <c r="A177" s="3" t="s">
        <v>973</v>
      </c>
      <c r="B177" s="3" t="s">
        <v>974</v>
      </c>
      <c r="C177" s="3" t="s">
        <v>975</v>
      </c>
      <c r="D177" s="3" t="s">
        <v>975</v>
      </c>
      <c r="E177" s="3" t="s">
        <v>976</v>
      </c>
      <c r="F177" s="3" t="s">
        <v>47</v>
      </c>
      <c r="G177" s="3" t="s">
        <v>976</v>
      </c>
      <c r="H177" s="3" t="s">
        <v>47</v>
      </c>
      <c r="I177">
        <f t="shared" si="4"/>
        <v>2287.56</v>
      </c>
      <c r="J177">
        <f t="shared" si="5"/>
        <v>-2287.56</v>
      </c>
    </row>
    <row r="178" spans="1:10" ht="15" customHeight="1" x14ac:dyDescent="0.2">
      <c r="A178" s="4" t="s">
        <v>977</v>
      </c>
      <c r="B178" s="4" t="s">
        <v>978</v>
      </c>
      <c r="C178" s="4" t="s">
        <v>979</v>
      </c>
      <c r="D178" s="4" t="s">
        <v>980</v>
      </c>
      <c r="E178" s="4" t="s">
        <v>47</v>
      </c>
      <c r="F178" s="4" t="s">
        <v>981</v>
      </c>
      <c r="G178" s="4" t="s">
        <v>982</v>
      </c>
      <c r="H178" s="4" t="s">
        <v>47</v>
      </c>
      <c r="I178">
        <f t="shared" si="4"/>
        <v>2323.79</v>
      </c>
      <c r="J178">
        <f t="shared" si="5"/>
        <v>-2323.79</v>
      </c>
    </row>
    <row r="179" spans="1:10" ht="15" customHeight="1" x14ac:dyDescent="0.2">
      <c r="A179" s="3" t="s">
        <v>983</v>
      </c>
      <c r="B179" s="3" t="s">
        <v>984</v>
      </c>
      <c r="C179" s="3" t="s">
        <v>985</v>
      </c>
      <c r="D179" s="3" t="s">
        <v>986</v>
      </c>
      <c r="E179" s="3" t="s">
        <v>47</v>
      </c>
      <c r="F179" s="3" t="s">
        <v>987</v>
      </c>
      <c r="G179" s="3" t="s">
        <v>988</v>
      </c>
      <c r="H179" s="3" t="s">
        <v>47</v>
      </c>
      <c r="I179">
        <f t="shared" si="4"/>
        <v>3162.19</v>
      </c>
      <c r="J179">
        <f t="shared" si="5"/>
        <v>-3162.19</v>
      </c>
    </row>
    <row r="180" spans="1:10" ht="15" customHeight="1" x14ac:dyDescent="0.2">
      <c r="A180" s="4" t="s">
        <v>989</v>
      </c>
      <c r="B180" s="4" t="s">
        <v>990</v>
      </c>
      <c r="C180" s="4" t="s">
        <v>991</v>
      </c>
      <c r="D180" s="4" t="s">
        <v>992</v>
      </c>
      <c r="E180" s="4" t="s">
        <v>993</v>
      </c>
      <c r="F180" s="4" t="s">
        <v>994</v>
      </c>
      <c r="G180" s="4" t="s">
        <v>995</v>
      </c>
      <c r="H180" s="4" t="s">
        <v>47</v>
      </c>
      <c r="I180">
        <f t="shared" si="4"/>
        <v>20900</v>
      </c>
      <c r="J180">
        <f t="shared" si="5"/>
        <v>-20900</v>
      </c>
    </row>
    <row r="181" spans="1:10" ht="15" customHeight="1" x14ac:dyDescent="0.2">
      <c r="A181" s="3" t="s">
        <v>996</v>
      </c>
      <c r="B181" s="3" t="s">
        <v>997</v>
      </c>
      <c r="C181" s="3" t="s">
        <v>998</v>
      </c>
      <c r="D181" s="3" t="s">
        <v>998</v>
      </c>
      <c r="E181" s="3" t="s">
        <v>999</v>
      </c>
      <c r="F181" s="3" t="s">
        <v>1000</v>
      </c>
      <c r="G181" s="3" t="s">
        <v>1000</v>
      </c>
      <c r="H181" s="3" t="s">
        <v>47</v>
      </c>
      <c r="I181">
        <f t="shared" si="4"/>
        <v>916.3</v>
      </c>
      <c r="J181">
        <f t="shared" si="5"/>
        <v>-916.3</v>
      </c>
    </row>
    <row r="182" spans="1:10" ht="15" customHeight="1" x14ac:dyDescent="0.2">
      <c r="A182" s="4" t="s">
        <v>1001</v>
      </c>
      <c r="B182" s="4" t="s">
        <v>1002</v>
      </c>
      <c r="C182" s="4" t="s">
        <v>1003</v>
      </c>
      <c r="D182" s="4" t="s">
        <v>1004</v>
      </c>
      <c r="E182" s="4" t="s">
        <v>47</v>
      </c>
      <c r="F182" s="4" t="s">
        <v>1005</v>
      </c>
      <c r="G182" s="4" t="s">
        <v>1006</v>
      </c>
      <c r="H182" s="4" t="s">
        <v>47</v>
      </c>
      <c r="I182">
        <f t="shared" si="4"/>
        <v>35262.89</v>
      </c>
      <c r="J182">
        <f t="shared" si="5"/>
        <v>-35262.89</v>
      </c>
    </row>
    <row r="183" spans="1:10" ht="15" customHeight="1" x14ac:dyDescent="0.2">
      <c r="A183" s="3" t="s">
        <v>1007</v>
      </c>
      <c r="B183" s="3" t="s">
        <v>1008</v>
      </c>
      <c r="C183" s="3" t="s">
        <v>1009</v>
      </c>
      <c r="D183" s="3" t="s">
        <v>1010</v>
      </c>
      <c r="E183" s="3" t="s">
        <v>1011</v>
      </c>
      <c r="F183" s="3" t="s">
        <v>1012</v>
      </c>
      <c r="G183" s="3" t="s">
        <v>1011</v>
      </c>
      <c r="H183" s="3" t="s">
        <v>47</v>
      </c>
      <c r="I183">
        <f t="shared" si="4"/>
        <v>303.33</v>
      </c>
      <c r="J183">
        <f t="shared" si="5"/>
        <v>-303.33</v>
      </c>
    </row>
    <row r="184" spans="1:10" ht="15" customHeight="1" x14ac:dyDescent="0.2">
      <c r="A184" s="4" t="s">
        <v>1013</v>
      </c>
      <c r="B184" s="4" t="s">
        <v>1014</v>
      </c>
      <c r="C184" s="4" t="s">
        <v>1015</v>
      </c>
      <c r="D184" s="4" t="s">
        <v>1016</v>
      </c>
      <c r="E184" s="4" t="s">
        <v>47</v>
      </c>
      <c r="F184" s="4" t="s">
        <v>47</v>
      </c>
      <c r="G184" s="4" t="s">
        <v>1017</v>
      </c>
      <c r="H184" s="4" t="s">
        <v>47</v>
      </c>
      <c r="I184">
        <f t="shared" si="4"/>
        <v>1250</v>
      </c>
      <c r="J184">
        <f t="shared" si="5"/>
        <v>-1250</v>
      </c>
    </row>
    <row r="185" spans="1:10" ht="15" customHeight="1" x14ac:dyDescent="0.2">
      <c r="A185" s="3" t="s">
        <v>1018</v>
      </c>
      <c r="B185" s="3" t="s">
        <v>1019</v>
      </c>
      <c r="C185" s="3" t="s">
        <v>1020</v>
      </c>
      <c r="D185" s="3" t="s">
        <v>1020</v>
      </c>
      <c r="E185" s="3" t="s">
        <v>1021</v>
      </c>
      <c r="F185" s="3" t="s">
        <v>47</v>
      </c>
      <c r="G185" s="3" t="s">
        <v>1021</v>
      </c>
      <c r="H185" s="3" t="s">
        <v>47</v>
      </c>
      <c r="I185">
        <f t="shared" si="4"/>
        <v>8868.36</v>
      </c>
      <c r="J185">
        <f t="shared" si="5"/>
        <v>-8868.36</v>
      </c>
    </row>
    <row r="186" spans="1:10" ht="15" customHeight="1" x14ac:dyDescent="0.2">
      <c r="A186" s="4" t="s">
        <v>1022</v>
      </c>
      <c r="B186" s="4" t="s">
        <v>1023</v>
      </c>
      <c r="C186" s="4" t="s">
        <v>1024</v>
      </c>
      <c r="D186" s="4" t="s">
        <v>1025</v>
      </c>
      <c r="E186" s="4" t="s">
        <v>47</v>
      </c>
      <c r="F186" s="4" t="s">
        <v>47</v>
      </c>
      <c r="G186" s="4" t="s">
        <v>1026</v>
      </c>
      <c r="H186" s="4" t="s">
        <v>47</v>
      </c>
      <c r="I186">
        <f t="shared" si="4"/>
        <v>20999.200000000001</v>
      </c>
      <c r="J186">
        <f t="shared" si="5"/>
        <v>-20999.200000000001</v>
      </c>
    </row>
    <row r="187" spans="1:10" ht="15" customHeight="1" x14ac:dyDescent="0.2">
      <c r="A187" s="3" t="s">
        <v>1027</v>
      </c>
      <c r="B187" s="3" t="s">
        <v>1028</v>
      </c>
      <c r="C187" s="3" t="s">
        <v>1029</v>
      </c>
      <c r="D187" s="3" t="s">
        <v>1029</v>
      </c>
      <c r="E187" s="3" t="s">
        <v>1030</v>
      </c>
      <c r="F187" s="3" t="s">
        <v>1031</v>
      </c>
      <c r="G187" s="3" t="s">
        <v>1032</v>
      </c>
      <c r="H187" s="3" t="s">
        <v>47</v>
      </c>
      <c r="I187">
        <f t="shared" si="4"/>
        <v>9000</v>
      </c>
      <c r="J187">
        <f t="shared" si="5"/>
        <v>-9000</v>
      </c>
    </row>
    <row r="188" spans="1:10" ht="15" customHeight="1" x14ac:dyDescent="0.2">
      <c r="A188" s="4" t="s">
        <v>1033</v>
      </c>
      <c r="B188" s="4" t="s">
        <v>1034</v>
      </c>
      <c r="C188" s="4" t="s">
        <v>1035</v>
      </c>
      <c r="D188" s="4" t="s">
        <v>1036</v>
      </c>
      <c r="E188" s="4" t="s">
        <v>47</v>
      </c>
      <c r="F188" s="4" t="s">
        <v>47</v>
      </c>
      <c r="G188" s="4" t="s">
        <v>1037</v>
      </c>
      <c r="H188" s="4" t="s">
        <v>47</v>
      </c>
      <c r="I188">
        <f t="shared" si="4"/>
        <v>1010.53</v>
      </c>
      <c r="J188">
        <f t="shared" si="5"/>
        <v>-1010.53</v>
      </c>
    </row>
    <row r="189" spans="1:10" ht="15" customHeight="1" x14ac:dyDescent="0.2">
      <c r="A189" s="3" t="s">
        <v>1038</v>
      </c>
      <c r="B189" s="3" t="s">
        <v>1039</v>
      </c>
      <c r="C189" s="3" t="s">
        <v>1040</v>
      </c>
      <c r="D189" s="3" t="s">
        <v>47</v>
      </c>
      <c r="E189" s="3" t="s">
        <v>47</v>
      </c>
      <c r="F189" s="3" t="s">
        <v>47</v>
      </c>
      <c r="G189" s="3" t="s">
        <v>1040</v>
      </c>
      <c r="H189" s="3" t="s">
        <v>47</v>
      </c>
      <c r="I189">
        <f t="shared" si="4"/>
        <v>5664.03</v>
      </c>
      <c r="J189">
        <f t="shared" si="5"/>
        <v>-5664.03</v>
      </c>
    </row>
    <row r="190" spans="1:10" ht="15" customHeight="1" x14ac:dyDescent="0.2">
      <c r="A190" s="4" t="s">
        <v>1041</v>
      </c>
      <c r="B190" s="4" t="s">
        <v>1042</v>
      </c>
      <c r="C190" s="4" t="s">
        <v>1043</v>
      </c>
      <c r="D190" s="4" t="s">
        <v>1043</v>
      </c>
      <c r="E190" s="4" t="s">
        <v>1044</v>
      </c>
      <c r="F190" s="4" t="s">
        <v>1044</v>
      </c>
      <c r="G190" s="4" t="s">
        <v>47</v>
      </c>
      <c r="H190" s="4" t="s">
        <v>47</v>
      </c>
      <c r="I190">
        <f t="shared" si="4"/>
        <v>0</v>
      </c>
      <c r="J190">
        <f t="shared" si="5"/>
        <v>0</v>
      </c>
    </row>
    <row r="191" spans="1:10" ht="15" customHeight="1" x14ac:dyDescent="0.2">
      <c r="A191" s="3" t="s">
        <v>1045</v>
      </c>
      <c r="B191" s="3" t="s">
        <v>1046</v>
      </c>
      <c r="C191" s="3" t="s">
        <v>1047</v>
      </c>
      <c r="D191" s="3" t="s">
        <v>1048</v>
      </c>
      <c r="E191" s="3" t="s">
        <v>47</v>
      </c>
      <c r="F191" s="3" t="s">
        <v>47</v>
      </c>
      <c r="G191" s="3" t="s">
        <v>478</v>
      </c>
      <c r="H191" s="3" t="s">
        <v>47</v>
      </c>
      <c r="I191">
        <f t="shared" si="4"/>
        <v>1500</v>
      </c>
      <c r="J191">
        <f t="shared" si="5"/>
        <v>-1500</v>
      </c>
    </row>
    <row r="192" spans="1:10" ht="15" customHeight="1" x14ac:dyDescent="0.2">
      <c r="A192" s="4" t="s">
        <v>1049</v>
      </c>
      <c r="B192" s="4" t="s">
        <v>1050</v>
      </c>
      <c r="C192" s="4" t="s">
        <v>1051</v>
      </c>
      <c r="D192" s="4" t="s">
        <v>1052</v>
      </c>
      <c r="E192" s="4" t="s">
        <v>47</v>
      </c>
      <c r="F192" s="4" t="s">
        <v>1053</v>
      </c>
      <c r="G192" s="4" t="s">
        <v>47</v>
      </c>
      <c r="H192" s="4" t="s">
        <v>47</v>
      </c>
      <c r="I192">
        <f t="shared" si="4"/>
        <v>0</v>
      </c>
      <c r="J192">
        <f t="shared" si="5"/>
        <v>0</v>
      </c>
    </row>
    <row r="193" spans="1:10" ht="15" customHeight="1" x14ac:dyDescent="0.2">
      <c r="A193" s="3" t="s">
        <v>1054</v>
      </c>
      <c r="B193" s="3" t="s">
        <v>1055</v>
      </c>
      <c r="C193" s="3" t="s">
        <v>1056</v>
      </c>
      <c r="D193" s="3" t="s">
        <v>1057</v>
      </c>
      <c r="E193" s="3" t="s">
        <v>47</v>
      </c>
      <c r="F193" s="3" t="s">
        <v>1058</v>
      </c>
      <c r="G193" s="3" t="s">
        <v>1058</v>
      </c>
      <c r="H193" s="3" t="s">
        <v>47</v>
      </c>
      <c r="I193">
        <f t="shared" si="4"/>
        <v>2225</v>
      </c>
      <c r="J193">
        <f t="shared" si="5"/>
        <v>-2225</v>
      </c>
    </row>
    <row r="194" spans="1:10" ht="15" customHeight="1" x14ac:dyDescent="0.2">
      <c r="A194" s="4" t="s">
        <v>1059</v>
      </c>
      <c r="B194" s="4" t="s">
        <v>1060</v>
      </c>
      <c r="C194" s="4" t="s">
        <v>1061</v>
      </c>
      <c r="D194" s="4" t="s">
        <v>1062</v>
      </c>
      <c r="E194" s="4" t="s">
        <v>1063</v>
      </c>
      <c r="F194" s="4" t="s">
        <v>1064</v>
      </c>
      <c r="G194" s="4" t="s">
        <v>1063</v>
      </c>
      <c r="H194" s="4" t="s">
        <v>47</v>
      </c>
      <c r="I194">
        <f t="shared" si="4"/>
        <v>428.87</v>
      </c>
      <c r="J194">
        <f t="shared" si="5"/>
        <v>-428.87</v>
      </c>
    </row>
    <row r="195" spans="1:10" ht="15" customHeight="1" x14ac:dyDescent="0.2">
      <c r="A195" s="3" t="s">
        <v>1065</v>
      </c>
      <c r="B195" s="3" t="s">
        <v>1066</v>
      </c>
      <c r="C195" s="3" t="s">
        <v>1067</v>
      </c>
      <c r="D195" s="3" t="s">
        <v>1068</v>
      </c>
      <c r="E195" s="3" t="s">
        <v>47</v>
      </c>
      <c r="F195" s="3" t="s">
        <v>47</v>
      </c>
      <c r="G195" s="3" t="s">
        <v>1069</v>
      </c>
      <c r="H195" s="3" t="s">
        <v>47</v>
      </c>
      <c r="I195">
        <f t="shared" si="4"/>
        <v>1468.46</v>
      </c>
      <c r="J195">
        <f t="shared" si="5"/>
        <v>-1468.46</v>
      </c>
    </row>
    <row r="196" spans="1:10" ht="15" customHeight="1" x14ac:dyDescent="0.2">
      <c r="A196" s="4" t="s">
        <v>1070</v>
      </c>
      <c r="B196" s="4" t="s">
        <v>1071</v>
      </c>
      <c r="C196" s="4" t="s">
        <v>47</v>
      </c>
      <c r="D196" s="4" t="s">
        <v>47</v>
      </c>
      <c r="E196" s="4" t="s">
        <v>1072</v>
      </c>
      <c r="F196" s="4" t="s">
        <v>1072</v>
      </c>
      <c r="G196" s="4" t="s">
        <v>47</v>
      </c>
      <c r="H196" s="4" t="s">
        <v>47</v>
      </c>
      <c r="I196">
        <f t="shared" ref="I196:I259" si="6">IF(MID(A196,1,1)="1",G196-H196,IF(MID(A196,1,1)="2",H196-G196,"VERIFICAR"))</f>
        <v>0</v>
      </c>
      <c r="J196">
        <f t="shared" ref="J196:J259" si="7">IF(MID(A196,1,1)="1",H196-I196,IF(MID(B196,1,1)="2",I196-H196,IF(MID(A196,1,1)="3",F196-E196,IF(MID(A196,1,1)="4",E196-F196,"VERIFICAR"))))</f>
        <v>0</v>
      </c>
    </row>
    <row r="197" spans="1:10" ht="15" customHeight="1" x14ac:dyDescent="0.2">
      <c r="A197" s="3" t="s">
        <v>1073</v>
      </c>
      <c r="B197" s="3" t="s">
        <v>1074</v>
      </c>
      <c r="C197" s="3" t="s">
        <v>1075</v>
      </c>
      <c r="D197" s="3" t="s">
        <v>1076</v>
      </c>
      <c r="E197" s="3" t="s">
        <v>47</v>
      </c>
      <c r="F197" s="3" t="s">
        <v>1077</v>
      </c>
      <c r="G197" s="3" t="s">
        <v>1078</v>
      </c>
      <c r="H197" s="3" t="s">
        <v>47</v>
      </c>
      <c r="I197">
        <f t="shared" si="6"/>
        <v>8310</v>
      </c>
      <c r="J197">
        <f t="shared" si="7"/>
        <v>-8310</v>
      </c>
    </row>
    <row r="198" spans="1:10" ht="15" customHeight="1" x14ac:dyDescent="0.2">
      <c r="A198" s="4" t="s">
        <v>1079</v>
      </c>
      <c r="B198" s="4" t="s">
        <v>1080</v>
      </c>
      <c r="C198" s="4" t="s">
        <v>1081</v>
      </c>
      <c r="D198" s="4" t="s">
        <v>1082</v>
      </c>
      <c r="E198" s="4" t="s">
        <v>47</v>
      </c>
      <c r="F198" s="4" t="s">
        <v>47</v>
      </c>
      <c r="G198" s="4" t="s">
        <v>1083</v>
      </c>
      <c r="H198" s="4" t="s">
        <v>47</v>
      </c>
      <c r="I198">
        <f t="shared" si="6"/>
        <v>6037.08</v>
      </c>
      <c r="J198">
        <f t="shared" si="7"/>
        <v>-6037.08</v>
      </c>
    </row>
    <row r="199" spans="1:10" ht="15" customHeight="1" x14ac:dyDescent="0.2">
      <c r="A199" s="3" t="s">
        <v>1084</v>
      </c>
      <c r="B199" s="3" t="s">
        <v>1085</v>
      </c>
      <c r="C199" s="3" t="s">
        <v>1086</v>
      </c>
      <c r="D199" s="3" t="s">
        <v>1087</v>
      </c>
      <c r="E199" s="3" t="s">
        <v>47</v>
      </c>
      <c r="F199" s="3" t="s">
        <v>47</v>
      </c>
      <c r="G199" s="3" t="s">
        <v>1088</v>
      </c>
      <c r="H199" s="3" t="s">
        <v>47</v>
      </c>
      <c r="I199">
        <f t="shared" si="6"/>
        <v>997.66</v>
      </c>
      <c r="J199">
        <f t="shared" si="7"/>
        <v>-997.66</v>
      </c>
    </row>
    <row r="200" spans="1:10" ht="15" customHeight="1" x14ac:dyDescent="0.2">
      <c r="A200" s="4" t="s">
        <v>1089</v>
      </c>
      <c r="B200" s="4" t="s">
        <v>1090</v>
      </c>
      <c r="C200" s="4" t="s">
        <v>1091</v>
      </c>
      <c r="D200" s="4" t="s">
        <v>1092</v>
      </c>
      <c r="E200" s="4" t="s">
        <v>47</v>
      </c>
      <c r="F200" s="4" t="s">
        <v>47</v>
      </c>
      <c r="G200" s="4" t="s">
        <v>1093</v>
      </c>
      <c r="H200" s="4" t="s">
        <v>47</v>
      </c>
      <c r="I200">
        <f t="shared" si="6"/>
        <v>2002</v>
      </c>
      <c r="J200">
        <f t="shared" si="7"/>
        <v>-2002</v>
      </c>
    </row>
    <row r="201" spans="1:10" ht="15" customHeight="1" x14ac:dyDescent="0.2">
      <c r="A201" s="3" t="s">
        <v>1094</v>
      </c>
      <c r="B201" s="3" t="s">
        <v>1095</v>
      </c>
      <c r="C201" s="3" t="s">
        <v>1096</v>
      </c>
      <c r="D201" s="3" t="s">
        <v>1097</v>
      </c>
      <c r="E201" s="3" t="s">
        <v>1098</v>
      </c>
      <c r="F201" s="3" t="s">
        <v>1099</v>
      </c>
      <c r="G201" s="3" t="s">
        <v>1100</v>
      </c>
      <c r="H201" s="3" t="s">
        <v>47</v>
      </c>
      <c r="I201">
        <f t="shared" si="6"/>
        <v>25942.63</v>
      </c>
      <c r="J201">
        <f t="shared" si="7"/>
        <v>-25942.63</v>
      </c>
    </row>
    <row r="202" spans="1:10" ht="15" customHeight="1" x14ac:dyDescent="0.2">
      <c r="A202" s="4" t="s">
        <v>1101</v>
      </c>
      <c r="B202" s="4" t="s">
        <v>1102</v>
      </c>
      <c r="C202" s="4" t="s">
        <v>1103</v>
      </c>
      <c r="D202" s="4" t="s">
        <v>1104</v>
      </c>
      <c r="E202" s="4" t="s">
        <v>47</v>
      </c>
      <c r="F202" s="4" t="s">
        <v>1105</v>
      </c>
      <c r="G202" s="4" t="s">
        <v>1105</v>
      </c>
      <c r="H202" s="4" t="s">
        <v>47</v>
      </c>
      <c r="I202">
        <f t="shared" si="6"/>
        <v>5714.29</v>
      </c>
      <c r="J202">
        <f t="shared" si="7"/>
        <v>-5714.29</v>
      </c>
    </row>
    <row r="203" spans="1:10" ht="15" customHeight="1" x14ac:dyDescent="0.2">
      <c r="A203" s="3" t="s">
        <v>1106</v>
      </c>
      <c r="B203" s="3" t="s">
        <v>1107</v>
      </c>
      <c r="C203" s="3" t="s">
        <v>1108</v>
      </c>
      <c r="D203" s="3" t="s">
        <v>1109</v>
      </c>
      <c r="E203" s="3" t="s">
        <v>1110</v>
      </c>
      <c r="F203" s="3" t="s">
        <v>1111</v>
      </c>
      <c r="G203" s="3" t="s">
        <v>1112</v>
      </c>
      <c r="H203" s="3" t="s">
        <v>47</v>
      </c>
      <c r="I203">
        <f t="shared" si="6"/>
        <v>4316.05</v>
      </c>
      <c r="J203">
        <f t="shared" si="7"/>
        <v>-4316.05</v>
      </c>
    </row>
    <row r="204" spans="1:10" ht="15" customHeight="1" x14ac:dyDescent="0.2">
      <c r="A204" s="4" t="s">
        <v>1113</v>
      </c>
      <c r="B204" s="4" t="s">
        <v>1114</v>
      </c>
      <c r="C204" s="4" t="s">
        <v>1115</v>
      </c>
      <c r="D204" s="4" t="s">
        <v>1115</v>
      </c>
      <c r="E204" s="4" t="s">
        <v>1116</v>
      </c>
      <c r="F204" s="4" t="s">
        <v>47</v>
      </c>
      <c r="G204" s="4" t="s">
        <v>1116</v>
      </c>
      <c r="H204" s="4" t="s">
        <v>47</v>
      </c>
      <c r="I204">
        <f t="shared" si="6"/>
        <v>399.5</v>
      </c>
      <c r="J204">
        <f t="shared" si="7"/>
        <v>-399.5</v>
      </c>
    </row>
    <row r="205" spans="1:10" ht="15" customHeight="1" x14ac:dyDescent="0.2">
      <c r="A205" s="3" t="s">
        <v>1117</v>
      </c>
      <c r="B205" s="3" t="s">
        <v>1118</v>
      </c>
      <c r="C205" s="3" t="s">
        <v>1119</v>
      </c>
      <c r="D205" s="3" t="s">
        <v>1120</v>
      </c>
      <c r="E205" s="3" t="s">
        <v>47</v>
      </c>
      <c r="F205" s="3" t="s">
        <v>47</v>
      </c>
      <c r="G205" s="3" t="s">
        <v>47</v>
      </c>
      <c r="H205" s="3" t="s">
        <v>1121</v>
      </c>
      <c r="I205">
        <f t="shared" si="6"/>
        <v>-0.06</v>
      </c>
      <c r="J205">
        <f t="shared" si="7"/>
        <v>0.12</v>
      </c>
    </row>
    <row r="206" spans="1:10" ht="15" customHeight="1" x14ac:dyDescent="0.2">
      <c r="A206" s="4" t="s">
        <v>1122</v>
      </c>
      <c r="B206" s="4" t="s">
        <v>1123</v>
      </c>
      <c r="C206" s="4" t="s">
        <v>1124</v>
      </c>
      <c r="D206" s="4" t="s">
        <v>1125</v>
      </c>
      <c r="E206" s="4" t="s">
        <v>47</v>
      </c>
      <c r="F206" s="4" t="s">
        <v>47</v>
      </c>
      <c r="G206" s="4" t="s">
        <v>1126</v>
      </c>
      <c r="H206" s="4" t="s">
        <v>47</v>
      </c>
      <c r="I206">
        <f t="shared" si="6"/>
        <v>1508.98</v>
      </c>
      <c r="J206">
        <f t="shared" si="7"/>
        <v>-1508.98</v>
      </c>
    </row>
    <row r="207" spans="1:10" ht="15" customHeight="1" x14ac:dyDescent="0.2">
      <c r="A207" s="3" t="s">
        <v>1127</v>
      </c>
      <c r="B207" s="3" t="s">
        <v>1128</v>
      </c>
      <c r="C207" s="3" t="s">
        <v>1129</v>
      </c>
      <c r="D207" s="3" t="s">
        <v>1130</v>
      </c>
      <c r="E207" s="3" t="s">
        <v>47</v>
      </c>
      <c r="F207" s="3" t="s">
        <v>47</v>
      </c>
      <c r="G207" s="3" t="s">
        <v>1131</v>
      </c>
      <c r="H207" s="3" t="s">
        <v>47</v>
      </c>
      <c r="I207">
        <f t="shared" si="6"/>
        <v>805.8</v>
      </c>
      <c r="J207">
        <f t="shared" si="7"/>
        <v>-805.8</v>
      </c>
    </row>
    <row r="208" spans="1:10" ht="15" customHeight="1" x14ac:dyDescent="0.2">
      <c r="A208" s="4" t="s">
        <v>1132</v>
      </c>
      <c r="B208" s="4" t="s">
        <v>1133</v>
      </c>
      <c r="C208" s="4" t="s">
        <v>1134</v>
      </c>
      <c r="D208" s="4" t="s">
        <v>1135</v>
      </c>
      <c r="E208" s="4" t="s">
        <v>1136</v>
      </c>
      <c r="F208" s="4" t="s">
        <v>1137</v>
      </c>
      <c r="G208" s="4" t="s">
        <v>1138</v>
      </c>
      <c r="H208" s="4" t="s">
        <v>47</v>
      </c>
      <c r="I208">
        <f t="shared" si="6"/>
        <v>128456.64</v>
      </c>
      <c r="J208">
        <f t="shared" si="7"/>
        <v>-128456.64</v>
      </c>
    </row>
    <row r="209" spans="1:10" ht="15" customHeight="1" x14ac:dyDescent="0.2">
      <c r="A209" s="3" t="s">
        <v>1139</v>
      </c>
      <c r="B209" s="3" t="s">
        <v>1140</v>
      </c>
      <c r="C209" s="3" t="s">
        <v>1141</v>
      </c>
      <c r="D209" s="3" t="s">
        <v>1142</v>
      </c>
      <c r="E209" s="3" t="s">
        <v>47</v>
      </c>
      <c r="F209" s="3" t="s">
        <v>1143</v>
      </c>
      <c r="G209" s="3" t="s">
        <v>1143</v>
      </c>
      <c r="H209" s="3" t="s">
        <v>47</v>
      </c>
      <c r="I209">
        <f t="shared" si="6"/>
        <v>2789.87</v>
      </c>
      <c r="J209">
        <f t="shared" si="7"/>
        <v>-2789.87</v>
      </c>
    </row>
    <row r="210" spans="1:10" ht="15" customHeight="1" x14ac:dyDescent="0.2">
      <c r="A210" s="4" t="s">
        <v>1144</v>
      </c>
      <c r="B210" s="4" t="s">
        <v>1145</v>
      </c>
      <c r="C210" s="4" t="s">
        <v>1146</v>
      </c>
      <c r="D210" s="4" t="s">
        <v>47</v>
      </c>
      <c r="E210" s="4" t="s">
        <v>47</v>
      </c>
      <c r="F210" s="4" t="s">
        <v>1146</v>
      </c>
      <c r="G210" s="4" t="s">
        <v>47</v>
      </c>
      <c r="H210" s="4" t="s">
        <v>47</v>
      </c>
      <c r="I210">
        <f t="shared" si="6"/>
        <v>0</v>
      </c>
      <c r="J210">
        <f t="shared" si="7"/>
        <v>0</v>
      </c>
    </row>
    <row r="211" spans="1:10" ht="15" customHeight="1" x14ac:dyDescent="0.2">
      <c r="A211" s="3" t="s">
        <v>1147</v>
      </c>
      <c r="B211" s="3" t="s">
        <v>1148</v>
      </c>
      <c r="C211" s="3" t="s">
        <v>1149</v>
      </c>
      <c r="D211" s="3" t="s">
        <v>1150</v>
      </c>
      <c r="E211" s="3" t="s">
        <v>1151</v>
      </c>
      <c r="F211" s="3" t="s">
        <v>1152</v>
      </c>
      <c r="G211" s="3" t="s">
        <v>1153</v>
      </c>
      <c r="H211" s="3" t="s">
        <v>47</v>
      </c>
      <c r="I211">
        <f t="shared" si="6"/>
        <v>13095.24</v>
      </c>
      <c r="J211">
        <f t="shared" si="7"/>
        <v>-13095.24</v>
      </c>
    </row>
    <row r="212" spans="1:10" ht="15" customHeight="1" x14ac:dyDescent="0.2">
      <c r="A212" s="4" t="s">
        <v>1154</v>
      </c>
      <c r="B212" s="4" t="s">
        <v>1155</v>
      </c>
      <c r="C212" s="4" t="s">
        <v>1156</v>
      </c>
      <c r="D212" s="4" t="s">
        <v>1157</v>
      </c>
      <c r="E212" s="4" t="s">
        <v>47</v>
      </c>
      <c r="F212" s="4" t="s">
        <v>47</v>
      </c>
      <c r="G212" s="4" t="s">
        <v>47</v>
      </c>
      <c r="H212" s="4" t="s">
        <v>394</v>
      </c>
      <c r="I212">
        <f t="shared" si="6"/>
        <v>-0.01</v>
      </c>
      <c r="J212">
        <f t="shared" si="7"/>
        <v>0.02</v>
      </c>
    </row>
    <row r="213" spans="1:10" ht="15" customHeight="1" x14ac:dyDescent="0.2">
      <c r="A213" s="3" t="s">
        <v>1158</v>
      </c>
      <c r="B213" s="3" t="s">
        <v>1159</v>
      </c>
      <c r="C213" s="3" t="s">
        <v>1160</v>
      </c>
      <c r="D213" s="3" t="s">
        <v>1161</v>
      </c>
      <c r="E213" s="3" t="s">
        <v>47</v>
      </c>
      <c r="F213" s="3" t="s">
        <v>1162</v>
      </c>
      <c r="G213" s="3" t="s">
        <v>47</v>
      </c>
      <c r="H213" s="3" t="s">
        <v>47</v>
      </c>
      <c r="I213">
        <f t="shared" si="6"/>
        <v>0</v>
      </c>
      <c r="J213">
        <f t="shared" si="7"/>
        <v>0</v>
      </c>
    </row>
    <row r="214" spans="1:10" ht="15" customHeight="1" x14ac:dyDescent="0.2">
      <c r="A214" s="4" t="s">
        <v>1163</v>
      </c>
      <c r="B214" s="4" t="s">
        <v>1164</v>
      </c>
      <c r="C214" s="4" t="s">
        <v>1165</v>
      </c>
      <c r="D214" s="4" t="s">
        <v>1166</v>
      </c>
      <c r="E214" s="4" t="s">
        <v>1167</v>
      </c>
      <c r="F214" s="4" t="s">
        <v>1168</v>
      </c>
      <c r="G214" s="4" t="s">
        <v>1169</v>
      </c>
      <c r="H214" s="4" t="s">
        <v>47</v>
      </c>
      <c r="I214">
        <f t="shared" si="6"/>
        <v>16737.66</v>
      </c>
      <c r="J214">
        <f t="shared" si="7"/>
        <v>-16737.66</v>
      </c>
    </row>
    <row r="215" spans="1:10" ht="15" customHeight="1" x14ac:dyDescent="0.2">
      <c r="A215" s="3" t="s">
        <v>1170</v>
      </c>
      <c r="B215" s="3" t="s">
        <v>1171</v>
      </c>
      <c r="C215" s="3" t="s">
        <v>1172</v>
      </c>
      <c r="D215" s="3" t="s">
        <v>1173</v>
      </c>
      <c r="E215" s="3" t="s">
        <v>47</v>
      </c>
      <c r="F215" s="3" t="s">
        <v>47</v>
      </c>
      <c r="G215" s="3" t="s">
        <v>1174</v>
      </c>
      <c r="H215" s="3" t="s">
        <v>47</v>
      </c>
      <c r="I215">
        <f t="shared" si="6"/>
        <v>6921.48</v>
      </c>
      <c r="J215">
        <f t="shared" si="7"/>
        <v>-6921.48</v>
      </c>
    </row>
    <row r="216" spans="1:10" ht="15" customHeight="1" x14ac:dyDescent="0.2">
      <c r="A216" s="4" t="s">
        <v>1175</v>
      </c>
      <c r="B216" s="4" t="s">
        <v>1176</v>
      </c>
      <c r="C216" s="4" t="s">
        <v>1177</v>
      </c>
      <c r="D216" s="4" t="s">
        <v>1178</v>
      </c>
      <c r="E216" s="4" t="s">
        <v>1179</v>
      </c>
      <c r="F216" s="4" t="s">
        <v>1180</v>
      </c>
      <c r="G216" s="4" t="s">
        <v>1181</v>
      </c>
      <c r="H216" s="4" t="s">
        <v>47</v>
      </c>
      <c r="I216">
        <f t="shared" si="6"/>
        <v>68972.350000000006</v>
      </c>
      <c r="J216">
        <f t="shared" si="7"/>
        <v>-68972.350000000006</v>
      </c>
    </row>
    <row r="217" spans="1:10" ht="15" customHeight="1" x14ac:dyDescent="0.2">
      <c r="A217" s="3" t="s">
        <v>1182</v>
      </c>
      <c r="B217" s="3" t="s">
        <v>1183</v>
      </c>
      <c r="C217" s="3" t="s">
        <v>1184</v>
      </c>
      <c r="D217" s="3" t="s">
        <v>1185</v>
      </c>
      <c r="E217" s="3" t="s">
        <v>47</v>
      </c>
      <c r="F217" s="3" t="s">
        <v>1186</v>
      </c>
      <c r="G217" s="3" t="s">
        <v>47</v>
      </c>
      <c r="H217" s="3" t="s">
        <v>47</v>
      </c>
      <c r="I217">
        <f t="shared" si="6"/>
        <v>0</v>
      </c>
      <c r="J217">
        <f t="shared" si="7"/>
        <v>0</v>
      </c>
    </row>
    <row r="218" spans="1:10" ht="15" customHeight="1" x14ac:dyDescent="0.2">
      <c r="A218" s="4" t="s">
        <v>1187</v>
      </c>
      <c r="B218" s="4" t="s">
        <v>1188</v>
      </c>
      <c r="C218" s="4" t="s">
        <v>1189</v>
      </c>
      <c r="D218" s="4" t="s">
        <v>1190</v>
      </c>
      <c r="E218" s="4" t="s">
        <v>1191</v>
      </c>
      <c r="F218" s="4" t="s">
        <v>1192</v>
      </c>
      <c r="G218" s="4" t="s">
        <v>1193</v>
      </c>
      <c r="H218" s="4" t="s">
        <v>47</v>
      </c>
      <c r="I218">
        <f t="shared" si="6"/>
        <v>93943.7</v>
      </c>
      <c r="J218">
        <f t="shared" si="7"/>
        <v>-93943.7</v>
      </c>
    </row>
    <row r="219" spans="1:10" ht="15" customHeight="1" x14ac:dyDescent="0.2">
      <c r="A219" s="3" t="s">
        <v>1194</v>
      </c>
      <c r="B219" s="3" t="s">
        <v>1195</v>
      </c>
      <c r="C219" s="3" t="s">
        <v>1196</v>
      </c>
      <c r="D219" s="3" t="s">
        <v>1197</v>
      </c>
      <c r="E219" s="3" t="s">
        <v>47</v>
      </c>
      <c r="F219" s="3" t="s">
        <v>47</v>
      </c>
      <c r="G219" s="3" t="s">
        <v>1198</v>
      </c>
      <c r="H219" s="3" t="s">
        <v>47</v>
      </c>
      <c r="I219">
        <f t="shared" si="6"/>
        <v>6221.08</v>
      </c>
      <c r="J219">
        <f t="shared" si="7"/>
        <v>-6221.08</v>
      </c>
    </row>
    <row r="220" spans="1:10" ht="15" customHeight="1" x14ac:dyDescent="0.2">
      <c r="A220" s="4" t="s">
        <v>1199</v>
      </c>
      <c r="B220" s="4" t="s">
        <v>1200</v>
      </c>
      <c r="C220" s="4" t="s">
        <v>1201</v>
      </c>
      <c r="D220" s="4" t="s">
        <v>1202</v>
      </c>
      <c r="E220" s="4" t="s">
        <v>1203</v>
      </c>
      <c r="F220" s="4" t="s">
        <v>1204</v>
      </c>
      <c r="G220" s="4" t="s">
        <v>1203</v>
      </c>
      <c r="H220" s="4" t="s">
        <v>47</v>
      </c>
      <c r="I220">
        <f t="shared" si="6"/>
        <v>3260.3</v>
      </c>
      <c r="J220">
        <f t="shared" si="7"/>
        <v>-3260.3</v>
      </c>
    </row>
    <row r="221" spans="1:10" ht="15" customHeight="1" x14ac:dyDescent="0.2">
      <c r="A221" s="3" t="s">
        <v>1205</v>
      </c>
      <c r="B221" s="3" t="s">
        <v>1206</v>
      </c>
      <c r="C221" s="3" t="s">
        <v>1207</v>
      </c>
      <c r="D221" s="3" t="s">
        <v>1208</v>
      </c>
      <c r="E221" s="3" t="s">
        <v>47</v>
      </c>
      <c r="F221" s="3" t="s">
        <v>47</v>
      </c>
      <c r="G221" s="3" t="s">
        <v>1209</v>
      </c>
      <c r="H221" s="3" t="s">
        <v>47</v>
      </c>
      <c r="I221">
        <f t="shared" si="6"/>
        <v>600</v>
      </c>
      <c r="J221">
        <f t="shared" si="7"/>
        <v>-600</v>
      </c>
    </row>
    <row r="222" spans="1:10" ht="15" customHeight="1" x14ac:dyDescent="0.2">
      <c r="A222" s="4" t="s">
        <v>1210</v>
      </c>
      <c r="B222" s="4" t="s">
        <v>1211</v>
      </c>
      <c r="C222" s="4" t="s">
        <v>1212</v>
      </c>
      <c r="D222" s="4" t="s">
        <v>1213</v>
      </c>
      <c r="E222" s="4" t="s">
        <v>47</v>
      </c>
      <c r="F222" s="4" t="s">
        <v>47</v>
      </c>
      <c r="G222" s="4" t="s">
        <v>1214</v>
      </c>
      <c r="H222" s="4" t="s">
        <v>47</v>
      </c>
      <c r="I222">
        <f t="shared" si="6"/>
        <v>1000</v>
      </c>
      <c r="J222">
        <f t="shared" si="7"/>
        <v>-1000</v>
      </c>
    </row>
    <row r="223" spans="1:10" ht="15" customHeight="1" x14ac:dyDescent="0.2">
      <c r="A223" s="3" t="s">
        <v>1215</v>
      </c>
      <c r="B223" s="3" t="s">
        <v>1216</v>
      </c>
      <c r="C223" s="3" t="s">
        <v>1217</v>
      </c>
      <c r="D223" s="3" t="s">
        <v>1218</v>
      </c>
      <c r="E223" s="3" t="s">
        <v>47</v>
      </c>
      <c r="F223" s="3" t="s">
        <v>1219</v>
      </c>
      <c r="G223" s="3" t="s">
        <v>1220</v>
      </c>
      <c r="H223" s="3" t="s">
        <v>47</v>
      </c>
      <c r="I223">
        <f t="shared" si="6"/>
        <v>4002.93</v>
      </c>
      <c r="J223">
        <f t="shared" si="7"/>
        <v>-4002.93</v>
      </c>
    </row>
    <row r="224" spans="1:10" ht="15" customHeight="1" x14ac:dyDescent="0.2">
      <c r="A224" s="4" t="s">
        <v>1221</v>
      </c>
      <c r="B224" s="4" t="s">
        <v>1222</v>
      </c>
      <c r="C224" s="4" t="s">
        <v>1223</v>
      </c>
      <c r="D224" s="4" t="s">
        <v>1224</v>
      </c>
      <c r="E224" s="4" t="s">
        <v>47</v>
      </c>
      <c r="F224" s="4" t="s">
        <v>47</v>
      </c>
      <c r="G224" s="4" t="s">
        <v>1225</v>
      </c>
      <c r="H224" s="4" t="s">
        <v>47</v>
      </c>
      <c r="I224">
        <f t="shared" si="6"/>
        <v>132.80000000000001</v>
      </c>
      <c r="J224">
        <f t="shared" si="7"/>
        <v>-132.80000000000001</v>
      </c>
    </row>
    <row r="225" spans="1:10" ht="15" customHeight="1" x14ac:dyDescent="0.2">
      <c r="A225" s="3" t="s">
        <v>1226</v>
      </c>
      <c r="B225" s="3" t="s">
        <v>1227</v>
      </c>
      <c r="C225" s="3" t="s">
        <v>1228</v>
      </c>
      <c r="D225" s="3" t="s">
        <v>1229</v>
      </c>
      <c r="E225" s="3" t="s">
        <v>47</v>
      </c>
      <c r="F225" s="3" t="s">
        <v>1230</v>
      </c>
      <c r="G225" s="3" t="s">
        <v>639</v>
      </c>
      <c r="H225" s="3" t="s">
        <v>47</v>
      </c>
      <c r="I225">
        <f t="shared" si="6"/>
        <v>500</v>
      </c>
      <c r="J225">
        <f t="shared" si="7"/>
        <v>-500</v>
      </c>
    </row>
    <row r="226" spans="1:10" ht="15" customHeight="1" x14ac:dyDescent="0.2">
      <c r="A226" s="4" t="s">
        <v>1231</v>
      </c>
      <c r="B226" s="4" t="s">
        <v>1232</v>
      </c>
      <c r="C226" s="4" t="s">
        <v>1233</v>
      </c>
      <c r="D226" s="4" t="s">
        <v>1234</v>
      </c>
      <c r="E226" s="4" t="s">
        <v>47</v>
      </c>
      <c r="F226" s="4" t="s">
        <v>1235</v>
      </c>
      <c r="G226" s="4" t="s">
        <v>1236</v>
      </c>
      <c r="H226" s="4" t="s">
        <v>47</v>
      </c>
      <c r="I226">
        <f t="shared" si="6"/>
        <v>28793.19</v>
      </c>
      <c r="J226">
        <f t="shared" si="7"/>
        <v>-28793.19</v>
      </c>
    </row>
    <row r="227" spans="1:10" ht="15" customHeight="1" x14ac:dyDescent="0.2">
      <c r="A227" s="3" t="s">
        <v>1237</v>
      </c>
      <c r="B227" s="3" t="s">
        <v>1238</v>
      </c>
      <c r="C227" s="3" t="s">
        <v>1239</v>
      </c>
      <c r="D227" s="3" t="s">
        <v>1240</v>
      </c>
      <c r="E227" s="3" t="s">
        <v>47</v>
      </c>
      <c r="F227" s="3" t="s">
        <v>1241</v>
      </c>
      <c r="G227" s="3" t="s">
        <v>1242</v>
      </c>
      <c r="H227" s="3" t="s">
        <v>47</v>
      </c>
      <c r="I227">
        <f t="shared" si="6"/>
        <v>689.18</v>
      </c>
      <c r="J227">
        <f t="shared" si="7"/>
        <v>-689.18</v>
      </c>
    </row>
    <row r="228" spans="1:10" ht="15" customHeight="1" x14ac:dyDescent="0.2">
      <c r="A228" s="4" t="s">
        <v>1243</v>
      </c>
      <c r="B228" s="4" t="s">
        <v>1244</v>
      </c>
      <c r="C228" s="4" t="s">
        <v>1245</v>
      </c>
      <c r="D228" s="4" t="s">
        <v>1246</v>
      </c>
      <c r="E228" s="4" t="s">
        <v>47</v>
      </c>
      <c r="F228" s="4" t="s">
        <v>47</v>
      </c>
      <c r="G228" s="4" t="s">
        <v>47</v>
      </c>
      <c r="H228" s="4" t="s">
        <v>394</v>
      </c>
      <c r="I228">
        <f t="shared" si="6"/>
        <v>-0.01</v>
      </c>
      <c r="J228">
        <f t="shared" si="7"/>
        <v>0.02</v>
      </c>
    </row>
    <row r="229" spans="1:10" ht="15" customHeight="1" x14ac:dyDescent="0.2">
      <c r="A229" s="3" t="s">
        <v>1247</v>
      </c>
      <c r="B229" s="3" t="s">
        <v>1248</v>
      </c>
      <c r="C229" s="3" t="s">
        <v>1249</v>
      </c>
      <c r="D229" s="3" t="s">
        <v>1250</v>
      </c>
      <c r="E229" s="3" t="s">
        <v>47</v>
      </c>
      <c r="F229" s="3" t="s">
        <v>47</v>
      </c>
      <c r="G229" s="3" t="s">
        <v>47</v>
      </c>
      <c r="H229" s="3" t="s">
        <v>1251</v>
      </c>
      <c r="I229">
        <f t="shared" si="6"/>
        <v>-0.03</v>
      </c>
      <c r="J229">
        <f t="shared" si="7"/>
        <v>0.06</v>
      </c>
    </row>
    <row r="230" spans="1:10" ht="15" customHeight="1" x14ac:dyDescent="0.2">
      <c r="A230" s="4" t="s">
        <v>1252</v>
      </c>
      <c r="B230" s="4" t="s">
        <v>1253</v>
      </c>
      <c r="C230" s="4" t="s">
        <v>1254</v>
      </c>
      <c r="D230" s="4" t="s">
        <v>1254</v>
      </c>
      <c r="E230" s="4" t="s">
        <v>1255</v>
      </c>
      <c r="F230" s="4" t="s">
        <v>47</v>
      </c>
      <c r="G230" s="4" t="s">
        <v>1255</v>
      </c>
      <c r="H230" s="4" t="s">
        <v>47</v>
      </c>
      <c r="I230">
        <f t="shared" si="6"/>
        <v>398.59</v>
      </c>
      <c r="J230">
        <f t="shared" si="7"/>
        <v>-398.59</v>
      </c>
    </row>
    <row r="231" spans="1:10" ht="15" customHeight="1" x14ac:dyDescent="0.2">
      <c r="A231" s="3" t="s">
        <v>1256</v>
      </c>
      <c r="B231" s="3" t="s">
        <v>1257</v>
      </c>
      <c r="C231" s="3" t="s">
        <v>1258</v>
      </c>
      <c r="D231" s="3" t="s">
        <v>1259</v>
      </c>
      <c r="E231" s="3" t="s">
        <v>47</v>
      </c>
      <c r="F231" s="3" t="s">
        <v>1260</v>
      </c>
      <c r="G231" s="3" t="s">
        <v>1261</v>
      </c>
      <c r="H231" s="3" t="s">
        <v>47</v>
      </c>
      <c r="I231">
        <f t="shared" si="6"/>
        <v>3486.14</v>
      </c>
      <c r="J231">
        <f t="shared" si="7"/>
        <v>-3486.14</v>
      </c>
    </row>
    <row r="232" spans="1:10" ht="15" customHeight="1" x14ac:dyDescent="0.2">
      <c r="A232" s="4" t="s">
        <v>1262</v>
      </c>
      <c r="B232" s="4" t="s">
        <v>1263</v>
      </c>
      <c r="C232" s="4" t="s">
        <v>1264</v>
      </c>
      <c r="D232" s="4" t="s">
        <v>1265</v>
      </c>
      <c r="E232" s="4" t="s">
        <v>1266</v>
      </c>
      <c r="F232" s="4" t="s">
        <v>1267</v>
      </c>
      <c r="G232" s="4" t="s">
        <v>1268</v>
      </c>
      <c r="H232" s="4" t="s">
        <v>47</v>
      </c>
      <c r="I232">
        <f t="shared" si="6"/>
        <v>19707.37</v>
      </c>
      <c r="J232">
        <f t="shared" si="7"/>
        <v>-19707.37</v>
      </c>
    </row>
    <row r="233" spans="1:10" ht="15" customHeight="1" x14ac:dyDescent="0.2">
      <c r="A233" s="3" t="s">
        <v>1269</v>
      </c>
      <c r="B233" s="3" t="s">
        <v>1270</v>
      </c>
      <c r="C233" s="3" t="s">
        <v>1271</v>
      </c>
      <c r="D233" s="3" t="s">
        <v>1272</v>
      </c>
      <c r="E233" s="3" t="s">
        <v>47</v>
      </c>
      <c r="F233" s="3" t="s">
        <v>47</v>
      </c>
      <c r="G233" s="3" t="s">
        <v>47</v>
      </c>
      <c r="H233" s="3" t="s">
        <v>1273</v>
      </c>
      <c r="I233">
        <f t="shared" si="6"/>
        <v>-0.27</v>
      </c>
      <c r="J233">
        <f t="shared" si="7"/>
        <v>0.54</v>
      </c>
    </row>
    <row r="234" spans="1:10" ht="15" customHeight="1" x14ac:dyDescent="0.2">
      <c r="A234" s="4" t="s">
        <v>1274</v>
      </c>
      <c r="B234" s="4" t="s">
        <v>1275</v>
      </c>
      <c r="C234" s="4" t="s">
        <v>1276</v>
      </c>
      <c r="D234" s="4" t="s">
        <v>1277</v>
      </c>
      <c r="E234" s="4" t="s">
        <v>47</v>
      </c>
      <c r="F234" s="4" t="s">
        <v>1278</v>
      </c>
      <c r="G234" s="4" t="s">
        <v>1279</v>
      </c>
      <c r="H234" s="4" t="s">
        <v>47</v>
      </c>
      <c r="I234">
        <f t="shared" si="6"/>
        <v>1557.12</v>
      </c>
      <c r="J234">
        <f t="shared" si="7"/>
        <v>-1557.12</v>
      </c>
    </row>
    <row r="235" spans="1:10" ht="15" customHeight="1" x14ac:dyDescent="0.2">
      <c r="A235" s="3" t="s">
        <v>1280</v>
      </c>
      <c r="B235" s="3" t="s">
        <v>1281</v>
      </c>
      <c r="C235" s="3" t="s">
        <v>1282</v>
      </c>
      <c r="D235" s="3" t="s">
        <v>1283</v>
      </c>
      <c r="E235" s="3" t="s">
        <v>47</v>
      </c>
      <c r="F235" s="3" t="s">
        <v>47</v>
      </c>
      <c r="G235" s="3" t="s">
        <v>1284</v>
      </c>
      <c r="H235" s="3" t="s">
        <v>47</v>
      </c>
      <c r="I235">
        <f t="shared" si="6"/>
        <v>2500</v>
      </c>
      <c r="J235">
        <f t="shared" si="7"/>
        <v>-2500</v>
      </c>
    </row>
    <row r="236" spans="1:10" ht="15" customHeight="1" x14ac:dyDescent="0.2">
      <c r="A236" s="4" t="s">
        <v>1285</v>
      </c>
      <c r="B236" s="4" t="s">
        <v>1286</v>
      </c>
      <c r="C236" s="4" t="s">
        <v>1287</v>
      </c>
      <c r="D236" s="4" t="s">
        <v>1287</v>
      </c>
      <c r="E236" s="4" t="s">
        <v>1288</v>
      </c>
      <c r="F236" s="4" t="s">
        <v>47</v>
      </c>
      <c r="G236" s="4" t="s">
        <v>1288</v>
      </c>
      <c r="H236" s="4" t="s">
        <v>47</v>
      </c>
      <c r="I236">
        <f t="shared" si="6"/>
        <v>1585.4</v>
      </c>
      <c r="J236">
        <f t="shared" si="7"/>
        <v>-1585.4</v>
      </c>
    </row>
    <row r="237" spans="1:10" ht="15" customHeight="1" x14ac:dyDescent="0.2">
      <c r="A237" s="3" t="s">
        <v>1289</v>
      </c>
      <c r="B237" s="3" t="s">
        <v>1290</v>
      </c>
      <c r="C237" s="3" t="s">
        <v>1291</v>
      </c>
      <c r="D237" s="3" t="s">
        <v>1292</v>
      </c>
      <c r="E237" s="3" t="s">
        <v>47</v>
      </c>
      <c r="F237" s="3" t="s">
        <v>1293</v>
      </c>
      <c r="G237" s="3" t="s">
        <v>1294</v>
      </c>
      <c r="H237" s="3" t="s">
        <v>47</v>
      </c>
      <c r="I237">
        <f t="shared" si="6"/>
        <v>512.72</v>
      </c>
      <c r="J237">
        <f t="shared" si="7"/>
        <v>-512.72</v>
      </c>
    </row>
    <row r="238" spans="1:10" ht="15" customHeight="1" x14ac:dyDescent="0.2">
      <c r="A238" s="4" t="s">
        <v>1295</v>
      </c>
      <c r="B238" s="4" t="s">
        <v>1296</v>
      </c>
      <c r="C238" s="4" t="s">
        <v>1297</v>
      </c>
      <c r="D238" s="4" t="s">
        <v>1298</v>
      </c>
      <c r="E238" s="4" t="s">
        <v>47</v>
      </c>
      <c r="F238" s="4" t="s">
        <v>1299</v>
      </c>
      <c r="G238" s="4" t="s">
        <v>1300</v>
      </c>
      <c r="H238" s="4" t="s">
        <v>47</v>
      </c>
      <c r="I238">
        <f t="shared" si="6"/>
        <v>19350</v>
      </c>
      <c r="J238">
        <f t="shared" si="7"/>
        <v>-19350</v>
      </c>
    </row>
    <row r="239" spans="1:10" ht="15" customHeight="1" x14ac:dyDescent="0.2">
      <c r="A239" s="3" t="s">
        <v>1301</v>
      </c>
      <c r="B239" s="3" t="s">
        <v>1302</v>
      </c>
      <c r="C239" s="3" t="s">
        <v>1303</v>
      </c>
      <c r="D239" s="3" t="s">
        <v>1304</v>
      </c>
      <c r="E239" s="3" t="s">
        <v>47</v>
      </c>
      <c r="F239" s="3" t="s">
        <v>47</v>
      </c>
      <c r="G239" s="3" t="s">
        <v>47</v>
      </c>
      <c r="H239" s="3" t="s">
        <v>1305</v>
      </c>
      <c r="I239">
        <f t="shared" si="6"/>
        <v>-0.2</v>
      </c>
      <c r="J239">
        <f t="shared" si="7"/>
        <v>0.4</v>
      </c>
    </row>
    <row r="240" spans="1:10" ht="15" customHeight="1" x14ac:dyDescent="0.2">
      <c r="A240" s="4" t="s">
        <v>1306</v>
      </c>
      <c r="B240" s="4" t="s">
        <v>1307</v>
      </c>
      <c r="C240" s="4" t="s">
        <v>1308</v>
      </c>
      <c r="D240" s="4" t="s">
        <v>1309</v>
      </c>
      <c r="E240" s="4" t="s">
        <v>47</v>
      </c>
      <c r="F240" s="4" t="s">
        <v>47</v>
      </c>
      <c r="G240" s="4" t="s">
        <v>47</v>
      </c>
      <c r="H240" s="4" t="s">
        <v>394</v>
      </c>
      <c r="I240">
        <f t="shared" si="6"/>
        <v>-0.01</v>
      </c>
      <c r="J240">
        <f t="shared" si="7"/>
        <v>0.02</v>
      </c>
    </row>
    <row r="241" spans="1:10" ht="15" customHeight="1" x14ac:dyDescent="0.2">
      <c r="A241" s="3" t="s">
        <v>1310</v>
      </c>
      <c r="B241" s="3" t="s">
        <v>1311</v>
      </c>
      <c r="C241" s="3" t="s">
        <v>47</v>
      </c>
      <c r="D241" s="3" t="s">
        <v>47</v>
      </c>
      <c r="E241" s="3" t="s">
        <v>1312</v>
      </c>
      <c r="F241" s="3" t="s">
        <v>1312</v>
      </c>
      <c r="G241" s="3" t="s">
        <v>47</v>
      </c>
      <c r="H241" s="3" t="s">
        <v>47</v>
      </c>
      <c r="I241">
        <f t="shared" si="6"/>
        <v>0</v>
      </c>
      <c r="J241">
        <f t="shared" si="7"/>
        <v>0</v>
      </c>
    </row>
    <row r="242" spans="1:10" ht="15" customHeight="1" x14ac:dyDescent="0.2">
      <c r="A242" s="4" t="s">
        <v>1313</v>
      </c>
      <c r="B242" s="4" t="s">
        <v>1314</v>
      </c>
      <c r="C242" s="4" t="s">
        <v>1315</v>
      </c>
      <c r="D242" s="4" t="s">
        <v>1316</v>
      </c>
      <c r="E242" s="4" t="s">
        <v>47</v>
      </c>
      <c r="F242" s="4" t="s">
        <v>1317</v>
      </c>
      <c r="G242" s="4" t="s">
        <v>47</v>
      </c>
      <c r="H242" s="4" t="s">
        <v>47</v>
      </c>
      <c r="I242">
        <f t="shared" si="6"/>
        <v>0</v>
      </c>
      <c r="J242">
        <f t="shared" si="7"/>
        <v>0</v>
      </c>
    </row>
    <row r="243" spans="1:10" ht="15" customHeight="1" x14ac:dyDescent="0.2">
      <c r="A243" s="3" t="s">
        <v>1318</v>
      </c>
      <c r="B243" s="3" t="s">
        <v>1319</v>
      </c>
      <c r="C243" s="3" t="s">
        <v>1320</v>
      </c>
      <c r="D243" s="3" t="s">
        <v>1320</v>
      </c>
      <c r="E243" s="3" t="s">
        <v>1321</v>
      </c>
      <c r="F243" s="3" t="s">
        <v>47</v>
      </c>
      <c r="G243" s="3" t="s">
        <v>1321</v>
      </c>
      <c r="H243" s="3" t="s">
        <v>47</v>
      </c>
      <c r="I243">
        <f t="shared" si="6"/>
        <v>6744.63</v>
      </c>
      <c r="J243">
        <f t="shared" si="7"/>
        <v>-6744.63</v>
      </c>
    </row>
    <row r="244" spans="1:10" ht="15" customHeight="1" x14ac:dyDescent="0.2">
      <c r="A244" s="4" t="s">
        <v>1322</v>
      </c>
      <c r="B244" s="4" t="s">
        <v>1323</v>
      </c>
      <c r="C244" s="4" t="s">
        <v>1324</v>
      </c>
      <c r="D244" s="4" t="s">
        <v>1324</v>
      </c>
      <c r="E244" s="4" t="s">
        <v>1325</v>
      </c>
      <c r="F244" s="4" t="s">
        <v>47</v>
      </c>
      <c r="G244" s="4" t="s">
        <v>1325</v>
      </c>
      <c r="H244" s="4" t="s">
        <v>47</v>
      </c>
      <c r="I244">
        <f t="shared" si="6"/>
        <v>5997.74</v>
      </c>
      <c r="J244">
        <f t="shared" si="7"/>
        <v>-5997.74</v>
      </c>
    </row>
    <row r="245" spans="1:10" ht="15" customHeight="1" x14ac:dyDescent="0.2">
      <c r="A245" s="3" t="s">
        <v>1326</v>
      </c>
      <c r="B245" s="3" t="s">
        <v>1327</v>
      </c>
      <c r="C245" s="3" t="s">
        <v>1328</v>
      </c>
      <c r="D245" s="3" t="s">
        <v>1329</v>
      </c>
      <c r="E245" s="3" t="s">
        <v>1330</v>
      </c>
      <c r="F245" s="3" t="s">
        <v>1331</v>
      </c>
      <c r="G245" s="3" t="s">
        <v>1330</v>
      </c>
      <c r="H245" s="3" t="s">
        <v>47</v>
      </c>
      <c r="I245">
        <f t="shared" si="6"/>
        <v>16606.57</v>
      </c>
      <c r="J245">
        <f t="shared" si="7"/>
        <v>-16606.57</v>
      </c>
    </row>
    <row r="246" spans="1:10" ht="15" customHeight="1" x14ac:dyDescent="0.2">
      <c r="A246" s="4" t="s">
        <v>1332</v>
      </c>
      <c r="B246" s="4" t="s">
        <v>1333</v>
      </c>
      <c r="C246" s="4" t="s">
        <v>1334</v>
      </c>
      <c r="D246" s="4" t="s">
        <v>1335</v>
      </c>
      <c r="E246" s="4" t="s">
        <v>47</v>
      </c>
      <c r="F246" s="4" t="s">
        <v>1336</v>
      </c>
      <c r="G246" s="4" t="s">
        <v>1337</v>
      </c>
      <c r="H246" s="4" t="s">
        <v>47</v>
      </c>
      <c r="I246">
        <f t="shared" si="6"/>
        <v>1207.42</v>
      </c>
      <c r="J246">
        <f t="shared" si="7"/>
        <v>-1207.42</v>
      </c>
    </row>
    <row r="247" spans="1:10" ht="15" customHeight="1" x14ac:dyDescent="0.2">
      <c r="A247" s="3" t="s">
        <v>1338</v>
      </c>
      <c r="B247" s="3" t="s">
        <v>1339</v>
      </c>
      <c r="C247" s="3" t="s">
        <v>1340</v>
      </c>
      <c r="D247" s="3" t="s">
        <v>1341</v>
      </c>
      <c r="E247" s="3" t="s">
        <v>1342</v>
      </c>
      <c r="F247" s="3" t="s">
        <v>1343</v>
      </c>
      <c r="G247" s="3" t="s">
        <v>1344</v>
      </c>
      <c r="H247" s="3" t="s">
        <v>47</v>
      </c>
      <c r="I247">
        <f t="shared" si="6"/>
        <v>12064.49</v>
      </c>
      <c r="J247">
        <f t="shared" si="7"/>
        <v>-12064.49</v>
      </c>
    </row>
    <row r="248" spans="1:10" ht="15" customHeight="1" x14ac:dyDescent="0.2">
      <c r="A248" s="4" t="s">
        <v>1345</v>
      </c>
      <c r="B248" s="4" t="s">
        <v>1346</v>
      </c>
      <c r="C248" s="4" t="s">
        <v>1347</v>
      </c>
      <c r="D248" s="4" t="s">
        <v>1348</v>
      </c>
      <c r="E248" s="4" t="s">
        <v>47</v>
      </c>
      <c r="F248" s="4" t="s">
        <v>1349</v>
      </c>
      <c r="G248" s="4" t="s">
        <v>47</v>
      </c>
      <c r="H248" s="4" t="s">
        <v>47</v>
      </c>
      <c r="I248">
        <f t="shared" si="6"/>
        <v>0</v>
      </c>
      <c r="J248">
        <f t="shared" si="7"/>
        <v>0</v>
      </c>
    </row>
    <row r="249" spans="1:10" ht="15" customHeight="1" x14ac:dyDescent="0.2">
      <c r="A249" s="3" t="s">
        <v>1350</v>
      </c>
      <c r="B249" s="3" t="s">
        <v>1351</v>
      </c>
      <c r="C249" s="3" t="s">
        <v>1352</v>
      </c>
      <c r="D249" s="3" t="s">
        <v>1353</v>
      </c>
      <c r="E249" s="3" t="s">
        <v>47</v>
      </c>
      <c r="F249" s="3" t="s">
        <v>47</v>
      </c>
      <c r="G249" s="3" t="s">
        <v>1354</v>
      </c>
      <c r="H249" s="3" t="s">
        <v>47</v>
      </c>
      <c r="I249">
        <f t="shared" si="6"/>
        <v>349.97</v>
      </c>
      <c r="J249">
        <f t="shared" si="7"/>
        <v>-349.97</v>
      </c>
    </row>
    <row r="250" spans="1:10" ht="15" customHeight="1" x14ac:dyDescent="0.2">
      <c r="A250" s="4" t="s">
        <v>1355</v>
      </c>
      <c r="B250" s="4" t="s">
        <v>1356</v>
      </c>
      <c r="C250" s="4" t="s">
        <v>1357</v>
      </c>
      <c r="D250" s="4" t="s">
        <v>1358</v>
      </c>
      <c r="E250" s="4" t="s">
        <v>47</v>
      </c>
      <c r="F250" s="4" t="s">
        <v>47</v>
      </c>
      <c r="G250" s="4" t="s">
        <v>47</v>
      </c>
      <c r="H250" s="4" t="s">
        <v>1359</v>
      </c>
      <c r="I250">
        <f t="shared" si="6"/>
        <v>-0.37</v>
      </c>
      <c r="J250">
        <f t="shared" si="7"/>
        <v>0.74</v>
      </c>
    </row>
    <row r="251" spans="1:10" ht="15" customHeight="1" x14ac:dyDescent="0.2">
      <c r="A251" s="3" t="s">
        <v>1360</v>
      </c>
      <c r="B251" s="3" t="s">
        <v>1361</v>
      </c>
      <c r="C251" s="3" t="s">
        <v>1362</v>
      </c>
      <c r="D251" s="3" t="s">
        <v>1362</v>
      </c>
      <c r="E251" s="3" t="s">
        <v>1363</v>
      </c>
      <c r="F251" s="3" t="s">
        <v>47</v>
      </c>
      <c r="G251" s="3" t="s">
        <v>1363</v>
      </c>
      <c r="H251" s="3" t="s">
        <v>47</v>
      </c>
      <c r="I251">
        <f t="shared" si="6"/>
        <v>6771.55</v>
      </c>
      <c r="J251">
        <f t="shared" si="7"/>
        <v>-6771.55</v>
      </c>
    </row>
    <row r="252" spans="1:10" ht="15" customHeight="1" x14ac:dyDescent="0.2">
      <c r="A252" s="4" t="s">
        <v>1364</v>
      </c>
      <c r="B252" s="4" t="s">
        <v>1365</v>
      </c>
      <c r="C252" s="4" t="s">
        <v>1366</v>
      </c>
      <c r="D252" s="4" t="s">
        <v>1367</v>
      </c>
      <c r="E252" s="4" t="s">
        <v>47</v>
      </c>
      <c r="F252" s="4" t="s">
        <v>1368</v>
      </c>
      <c r="G252" s="4" t="s">
        <v>47</v>
      </c>
      <c r="H252" s="4" t="s">
        <v>47</v>
      </c>
      <c r="I252">
        <f t="shared" si="6"/>
        <v>0</v>
      </c>
      <c r="J252">
        <f t="shared" si="7"/>
        <v>0</v>
      </c>
    </row>
    <row r="253" spans="1:10" ht="15" customHeight="1" x14ac:dyDescent="0.2">
      <c r="A253" s="3" t="s">
        <v>1369</v>
      </c>
      <c r="B253" s="3" t="s">
        <v>1370</v>
      </c>
      <c r="C253" s="3" t="s">
        <v>1371</v>
      </c>
      <c r="D253" s="3" t="s">
        <v>1372</v>
      </c>
      <c r="E253" s="3" t="s">
        <v>47</v>
      </c>
      <c r="F253" s="3" t="s">
        <v>1373</v>
      </c>
      <c r="G253" s="3" t="s">
        <v>47</v>
      </c>
      <c r="H253" s="3" t="s">
        <v>47</v>
      </c>
      <c r="I253">
        <f t="shared" si="6"/>
        <v>0</v>
      </c>
      <c r="J253">
        <f t="shared" si="7"/>
        <v>0</v>
      </c>
    </row>
    <row r="254" spans="1:10" ht="15" customHeight="1" x14ac:dyDescent="0.2">
      <c r="A254" s="4" t="s">
        <v>1374</v>
      </c>
      <c r="B254" s="4" t="s">
        <v>1375</v>
      </c>
      <c r="C254" s="4" t="s">
        <v>1376</v>
      </c>
      <c r="D254" s="4" t="s">
        <v>1376</v>
      </c>
      <c r="E254" s="4" t="s">
        <v>724</v>
      </c>
      <c r="F254" s="4" t="s">
        <v>1377</v>
      </c>
      <c r="G254" s="4" t="s">
        <v>1378</v>
      </c>
      <c r="H254" s="4" t="s">
        <v>47</v>
      </c>
      <c r="I254">
        <f t="shared" si="6"/>
        <v>12000</v>
      </c>
      <c r="J254">
        <f t="shared" si="7"/>
        <v>-12000</v>
      </c>
    </row>
    <row r="255" spans="1:10" ht="15" customHeight="1" x14ac:dyDescent="0.2">
      <c r="A255" s="3" t="s">
        <v>1379</v>
      </c>
      <c r="B255" s="3" t="s">
        <v>1380</v>
      </c>
      <c r="C255" s="3" t="s">
        <v>1381</v>
      </c>
      <c r="D255" s="3" t="s">
        <v>1382</v>
      </c>
      <c r="E255" s="3" t="s">
        <v>47</v>
      </c>
      <c r="F255" s="3" t="s">
        <v>47</v>
      </c>
      <c r="G255" s="3" t="s">
        <v>47</v>
      </c>
      <c r="H255" s="3" t="s">
        <v>1383</v>
      </c>
      <c r="I255">
        <f t="shared" si="6"/>
        <v>-0.41</v>
      </c>
      <c r="J255">
        <f t="shared" si="7"/>
        <v>0.82</v>
      </c>
    </row>
    <row r="256" spans="1:10" ht="15" customHeight="1" x14ac:dyDescent="0.2">
      <c r="A256" s="4" t="s">
        <v>1384</v>
      </c>
      <c r="B256" s="4" t="s">
        <v>1385</v>
      </c>
      <c r="C256" s="4" t="s">
        <v>1386</v>
      </c>
      <c r="D256" s="4" t="s">
        <v>1386</v>
      </c>
      <c r="E256" s="4" t="s">
        <v>1387</v>
      </c>
      <c r="F256" s="4" t="s">
        <v>1388</v>
      </c>
      <c r="G256" s="4" t="s">
        <v>1389</v>
      </c>
      <c r="H256" s="4" t="s">
        <v>47</v>
      </c>
      <c r="I256">
        <f t="shared" si="6"/>
        <v>7816.86</v>
      </c>
      <c r="J256">
        <f t="shared" si="7"/>
        <v>-7816.86</v>
      </c>
    </row>
    <row r="257" spans="1:10" ht="15" customHeight="1" x14ac:dyDescent="0.2">
      <c r="A257" s="3" t="s">
        <v>1390</v>
      </c>
      <c r="B257" s="3" t="s">
        <v>1391</v>
      </c>
      <c r="C257" s="3" t="s">
        <v>1392</v>
      </c>
      <c r="D257" s="3" t="s">
        <v>1393</v>
      </c>
      <c r="E257" s="3" t="s">
        <v>47</v>
      </c>
      <c r="F257" s="3" t="s">
        <v>47</v>
      </c>
      <c r="G257" s="3" t="s">
        <v>1394</v>
      </c>
      <c r="H257" s="3" t="s">
        <v>47</v>
      </c>
      <c r="I257">
        <f t="shared" si="6"/>
        <v>52903.49</v>
      </c>
      <c r="J257">
        <f t="shared" si="7"/>
        <v>-52903.49</v>
      </c>
    </row>
    <row r="258" spans="1:10" ht="15" customHeight="1" x14ac:dyDescent="0.2">
      <c r="A258" s="4" t="s">
        <v>1395</v>
      </c>
      <c r="B258" s="4" t="s">
        <v>1396</v>
      </c>
      <c r="C258" s="4" t="s">
        <v>1397</v>
      </c>
      <c r="D258" s="4" t="s">
        <v>1398</v>
      </c>
      <c r="E258" s="4" t="s">
        <v>47</v>
      </c>
      <c r="F258" s="4" t="s">
        <v>47</v>
      </c>
      <c r="G258" s="4" t="s">
        <v>47</v>
      </c>
      <c r="H258" s="4" t="s">
        <v>394</v>
      </c>
      <c r="I258">
        <f t="shared" si="6"/>
        <v>-0.01</v>
      </c>
      <c r="J258">
        <f t="shared" si="7"/>
        <v>0.02</v>
      </c>
    </row>
    <row r="259" spans="1:10" ht="15" customHeight="1" x14ac:dyDescent="0.2">
      <c r="A259" s="3" t="s">
        <v>1399</v>
      </c>
      <c r="B259" s="3" t="s">
        <v>1400</v>
      </c>
      <c r="C259" s="3" t="s">
        <v>1401</v>
      </c>
      <c r="D259" s="3" t="s">
        <v>1402</v>
      </c>
      <c r="E259" s="3" t="s">
        <v>47</v>
      </c>
      <c r="F259" s="3" t="s">
        <v>47</v>
      </c>
      <c r="G259" s="3" t="s">
        <v>1403</v>
      </c>
      <c r="H259" s="3" t="s">
        <v>47</v>
      </c>
      <c r="I259">
        <f t="shared" si="6"/>
        <v>681</v>
      </c>
      <c r="J259">
        <f t="shared" si="7"/>
        <v>-681</v>
      </c>
    </row>
    <row r="260" spans="1:10" ht="15" customHeight="1" x14ac:dyDescent="0.2">
      <c r="A260" s="4" t="s">
        <v>1404</v>
      </c>
      <c r="B260" s="4" t="s">
        <v>1405</v>
      </c>
      <c r="C260" s="4" t="s">
        <v>1406</v>
      </c>
      <c r="D260" s="4" t="s">
        <v>1406</v>
      </c>
      <c r="E260" s="4" t="s">
        <v>1407</v>
      </c>
      <c r="F260" s="4" t="s">
        <v>47</v>
      </c>
      <c r="G260" s="4" t="s">
        <v>1407</v>
      </c>
      <c r="H260" s="4" t="s">
        <v>47</v>
      </c>
      <c r="I260">
        <f t="shared" ref="I260:I323" si="8">IF(MID(A260,1,1)="1",G260-H260,IF(MID(A260,1,1)="2",H260-G260,"VERIFICAR"))</f>
        <v>19434.310000000001</v>
      </c>
      <c r="J260">
        <f t="shared" ref="J260:J323" si="9">IF(MID(A260,1,1)="1",H260-I260,IF(MID(B260,1,1)="2",I260-H260,IF(MID(A260,1,1)="3",F260-E260,IF(MID(A260,1,1)="4",E260-F260,"VERIFICAR"))))</f>
        <v>-19434.310000000001</v>
      </c>
    </row>
    <row r="261" spans="1:10" ht="15" customHeight="1" x14ac:dyDescent="0.2">
      <c r="A261" s="3" t="s">
        <v>1408</v>
      </c>
      <c r="B261" s="3" t="s">
        <v>1409</v>
      </c>
      <c r="C261" s="3" t="s">
        <v>1410</v>
      </c>
      <c r="D261" s="3" t="s">
        <v>1410</v>
      </c>
      <c r="E261" s="3" t="s">
        <v>1411</v>
      </c>
      <c r="F261" s="3" t="s">
        <v>1411</v>
      </c>
      <c r="G261" s="3" t="s">
        <v>47</v>
      </c>
      <c r="H261" s="3" t="s">
        <v>47</v>
      </c>
      <c r="I261">
        <f t="shared" si="8"/>
        <v>0</v>
      </c>
      <c r="J261">
        <f t="shared" si="9"/>
        <v>0</v>
      </c>
    </row>
    <row r="262" spans="1:10" ht="15" customHeight="1" x14ac:dyDescent="0.2">
      <c r="A262" s="4" t="s">
        <v>1412</v>
      </c>
      <c r="B262" s="4" t="s">
        <v>1413</v>
      </c>
      <c r="C262" s="4" t="s">
        <v>1414</v>
      </c>
      <c r="D262" s="4" t="s">
        <v>1414</v>
      </c>
      <c r="E262" s="4" t="s">
        <v>1415</v>
      </c>
      <c r="F262" s="4" t="s">
        <v>1415</v>
      </c>
      <c r="G262" s="4" t="s">
        <v>47</v>
      </c>
      <c r="H262" s="4" t="s">
        <v>47</v>
      </c>
      <c r="I262">
        <f t="shared" si="8"/>
        <v>0</v>
      </c>
      <c r="J262">
        <f t="shared" si="9"/>
        <v>0</v>
      </c>
    </row>
    <row r="263" spans="1:10" ht="15" customHeight="1" x14ac:dyDescent="0.2">
      <c r="A263" s="3" t="s">
        <v>1416</v>
      </c>
      <c r="B263" s="3" t="s">
        <v>1417</v>
      </c>
      <c r="C263" s="3" t="s">
        <v>1418</v>
      </c>
      <c r="D263" s="3" t="s">
        <v>1418</v>
      </c>
      <c r="E263" s="3" t="s">
        <v>1419</v>
      </c>
      <c r="F263" s="3" t="s">
        <v>1419</v>
      </c>
      <c r="G263" s="3" t="s">
        <v>47</v>
      </c>
      <c r="H263" s="3" t="s">
        <v>47</v>
      </c>
      <c r="I263">
        <f t="shared" si="8"/>
        <v>0</v>
      </c>
      <c r="J263">
        <f t="shared" si="9"/>
        <v>0</v>
      </c>
    </row>
    <row r="264" spans="1:10" ht="15" customHeight="1" x14ac:dyDescent="0.2">
      <c r="A264" s="4" t="s">
        <v>1420</v>
      </c>
      <c r="B264" s="4" t="s">
        <v>1421</v>
      </c>
      <c r="C264" s="4" t="s">
        <v>1422</v>
      </c>
      <c r="D264" s="4" t="s">
        <v>1423</v>
      </c>
      <c r="E264" s="4" t="s">
        <v>47</v>
      </c>
      <c r="F264" s="4" t="s">
        <v>1424</v>
      </c>
      <c r="G264" s="4" t="s">
        <v>1425</v>
      </c>
      <c r="H264" s="4" t="s">
        <v>47</v>
      </c>
      <c r="I264">
        <f t="shared" si="8"/>
        <v>31750.02</v>
      </c>
      <c r="J264">
        <f t="shared" si="9"/>
        <v>-31750.02</v>
      </c>
    </row>
    <row r="265" spans="1:10" ht="15" customHeight="1" x14ac:dyDescent="0.2">
      <c r="A265" s="3" t="s">
        <v>1426</v>
      </c>
      <c r="B265" s="3" t="s">
        <v>1427</v>
      </c>
      <c r="C265" s="3" t="s">
        <v>47</v>
      </c>
      <c r="D265" s="3" t="s">
        <v>47</v>
      </c>
      <c r="E265" s="3" t="s">
        <v>1428</v>
      </c>
      <c r="F265" s="3" t="s">
        <v>47</v>
      </c>
      <c r="G265" s="3" t="s">
        <v>1428</v>
      </c>
      <c r="H265" s="3" t="s">
        <v>47</v>
      </c>
      <c r="I265">
        <f t="shared" si="8"/>
        <v>2322.44</v>
      </c>
      <c r="J265">
        <f t="shared" si="9"/>
        <v>-2322.44</v>
      </c>
    </row>
    <row r="266" spans="1:10" ht="15" customHeight="1" x14ac:dyDescent="0.2">
      <c r="A266" s="4" t="s">
        <v>1429</v>
      </c>
      <c r="B266" s="4" t="s">
        <v>1430</v>
      </c>
      <c r="C266" s="4" t="s">
        <v>1431</v>
      </c>
      <c r="D266" s="4" t="s">
        <v>1432</v>
      </c>
      <c r="E266" s="4" t="s">
        <v>47</v>
      </c>
      <c r="F266" s="4" t="s">
        <v>1433</v>
      </c>
      <c r="G266" s="4" t="s">
        <v>1434</v>
      </c>
      <c r="H266" s="4" t="s">
        <v>47</v>
      </c>
      <c r="I266">
        <f t="shared" si="8"/>
        <v>4666.67</v>
      </c>
      <c r="J266">
        <f t="shared" si="9"/>
        <v>-4666.67</v>
      </c>
    </row>
    <row r="267" spans="1:10" ht="15" customHeight="1" x14ac:dyDescent="0.2">
      <c r="A267" s="3" t="s">
        <v>1435</v>
      </c>
      <c r="B267" s="3" t="s">
        <v>1436</v>
      </c>
      <c r="C267" s="3" t="s">
        <v>1437</v>
      </c>
      <c r="D267" s="3" t="s">
        <v>1438</v>
      </c>
      <c r="E267" s="3" t="s">
        <v>47</v>
      </c>
      <c r="F267" s="3" t="s">
        <v>47</v>
      </c>
      <c r="G267" s="3" t="s">
        <v>1439</v>
      </c>
      <c r="H267" s="3" t="s">
        <v>47</v>
      </c>
      <c r="I267">
        <f t="shared" si="8"/>
        <v>1134.05</v>
      </c>
      <c r="J267">
        <f t="shared" si="9"/>
        <v>-1134.05</v>
      </c>
    </row>
    <row r="268" spans="1:10" ht="15" customHeight="1" x14ac:dyDescent="0.2">
      <c r="A268" s="4" t="s">
        <v>1440</v>
      </c>
      <c r="B268" s="4" t="s">
        <v>1441</v>
      </c>
      <c r="C268" s="4" t="s">
        <v>47</v>
      </c>
      <c r="D268" s="4" t="s">
        <v>47</v>
      </c>
      <c r="E268" s="4" t="s">
        <v>1442</v>
      </c>
      <c r="F268" s="4" t="s">
        <v>1442</v>
      </c>
      <c r="G268" s="4" t="s">
        <v>47</v>
      </c>
      <c r="H268" s="4" t="s">
        <v>47</v>
      </c>
      <c r="I268">
        <f t="shared" si="8"/>
        <v>0</v>
      </c>
      <c r="J268">
        <f t="shared" si="9"/>
        <v>0</v>
      </c>
    </row>
    <row r="269" spans="1:10" ht="15" customHeight="1" x14ac:dyDescent="0.2">
      <c r="A269" s="3" t="s">
        <v>1443</v>
      </c>
      <c r="B269" s="3" t="s">
        <v>1444</v>
      </c>
      <c r="C269" s="3" t="s">
        <v>1445</v>
      </c>
      <c r="D269" s="3" t="s">
        <v>1446</v>
      </c>
      <c r="E269" s="3" t="s">
        <v>1447</v>
      </c>
      <c r="F269" s="3" t="s">
        <v>1448</v>
      </c>
      <c r="G269" s="3" t="s">
        <v>1449</v>
      </c>
      <c r="H269" s="3" t="s">
        <v>47</v>
      </c>
      <c r="I269">
        <f t="shared" si="8"/>
        <v>16138.3</v>
      </c>
      <c r="J269">
        <f t="shared" si="9"/>
        <v>-16138.3</v>
      </c>
    </row>
    <row r="270" spans="1:10" ht="15" customHeight="1" x14ac:dyDescent="0.2">
      <c r="A270" s="4" t="s">
        <v>1450</v>
      </c>
      <c r="B270" s="4" t="s">
        <v>1451</v>
      </c>
      <c r="C270" s="4" t="s">
        <v>1452</v>
      </c>
      <c r="D270" s="4" t="s">
        <v>1453</v>
      </c>
      <c r="E270" s="4" t="s">
        <v>47</v>
      </c>
      <c r="F270" s="4" t="s">
        <v>1454</v>
      </c>
      <c r="G270" s="4" t="s">
        <v>47</v>
      </c>
      <c r="H270" s="4" t="s">
        <v>47</v>
      </c>
      <c r="I270">
        <f t="shared" si="8"/>
        <v>0</v>
      </c>
      <c r="J270">
        <f t="shared" si="9"/>
        <v>0</v>
      </c>
    </row>
    <row r="271" spans="1:10" ht="15" customHeight="1" x14ac:dyDescent="0.2">
      <c r="A271" s="3" t="s">
        <v>1455</v>
      </c>
      <c r="B271" s="3" t="s">
        <v>1456</v>
      </c>
      <c r="C271" s="3" t="s">
        <v>1457</v>
      </c>
      <c r="D271" s="3" t="s">
        <v>1458</v>
      </c>
      <c r="E271" s="3" t="s">
        <v>1459</v>
      </c>
      <c r="F271" s="3" t="s">
        <v>1460</v>
      </c>
      <c r="G271" s="3" t="s">
        <v>1461</v>
      </c>
      <c r="H271" s="3" t="s">
        <v>47</v>
      </c>
      <c r="I271">
        <f t="shared" si="8"/>
        <v>3551.07</v>
      </c>
      <c r="J271">
        <f t="shared" si="9"/>
        <v>-3551.07</v>
      </c>
    </row>
    <row r="272" spans="1:10" ht="15" customHeight="1" x14ac:dyDescent="0.2">
      <c r="A272" s="4" t="s">
        <v>1462</v>
      </c>
      <c r="B272" s="4" t="s">
        <v>1463</v>
      </c>
      <c r="C272" s="4" t="s">
        <v>1464</v>
      </c>
      <c r="D272" s="4" t="s">
        <v>1465</v>
      </c>
      <c r="E272" s="4" t="s">
        <v>47</v>
      </c>
      <c r="F272" s="4" t="s">
        <v>1466</v>
      </c>
      <c r="G272" s="4" t="s">
        <v>1467</v>
      </c>
      <c r="H272" s="4" t="s">
        <v>47</v>
      </c>
      <c r="I272">
        <f t="shared" si="8"/>
        <v>9400.91</v>
      </c>
      <c r="J272">
        <f t="shared" si="9"/>
        <v>-9400.91</v>
      </c>
    </row>
    <row r="273" spans="1:10" ht="15" customHeight="1" x14ac:dyDescent="0.2">
      <c r="A273" s="3" t="s">
        <v>1468</v>
      </c>
      <c r="B273" s="3" t="s">
        <v>1469</v>
      </c>
      <c r="C273" s="3" t="s">
        <v>1470</v>
      </c>
      <c r="D273" s="3" t="s">
        <v>47</v>
      </c>
      <c r="E273" s="3" t="s">
        <v>47</v>
      </c>
      <c r="F273" s="3" t="s">
        <v>47</v>
      </c>
      <c r="G273" s="3" t="s">
        <v>1470</v>
      </c>
      <c r="H273" s="3" t="s">
        <v>47</v>
      </c>
      <c r="I273">
        <f t="shared" si="8"/>
        <v>487.39</v>
      </c>
      <c r="J273">
        <f t="shared" si="9"/>
        <v>-487.39</v>
      </c>
    </row>
    <row r="274" spans="1:10" ht="15" customHeight="1" x14ac:dyDescent="0.2">
      <c r="A274" s="4" t="s">
        <v>1471</v>
      </c>
      <c r="B274" s="4" t="s">
        <v>1472</v>
      </c>
      <c r="C274" s="4" t="s">
        <v>1473</v>
      </c>
      <c r="D274" s="4" t="s">
        <v>1474</v>
      </c>
      <c r="E274" s="4" t="s">
        <v>47</v>
      </c>
      <c r="F274" s="4" t="s">
        <v>47</v>
      </c>
      <c r="G274" s="4" t="s">
        <v>47</v>
      </c>
      <c r="H274" s="4" t="s">
        <v>1475</v>
      </c>
      <c r="I274">
        <f t="shared" si="8"/>
        <v>-0.26</v>
      </c>
      <c r="J274">
        <f t="shared" si="9"/>
        <v>0.52</v>
      </c>
    </row>
    <row r="275" spans="1:10" ht="15" customHeight="1" x14ac:dyDescent="0.2">
      <c r="A275" s="3" t="s">
        <v>1476</v>
      </c>
      <c r="B275" s="3" t="s">
        <v>1477</v>
      </c>
      <c r="C275" s="3" t="s">
        <v>1478</v>
      </c>
      <c r="D275" s="3" t="s">
        <v>1479</v>
      </c>
      <c r="E275" s="3" t="s">
        <v>47</v>
      </c>
      <c r="F275" s="3" t="s">
        <v>47</v>
      </c>
      <c r="G275" s="3" t="s">
        <v>47</v>
      </c>
      <c r="H275" s="3" t="s">
        <v>1480</v>
      </c>
      <c r="I275">
        <f t="shared" si="8"/>
        <v>-0.04</v>
      </c>
      <c r="J275">
        <f t="shared" si="9"/>
        <v>0.08</v>
      </c>
    </row>
    <row r="276" spans="1:10" ht="15" customHeight="1" x14ac:dyDescent="0.2">
      <c r="A276" s="4" t="s">
        <v>1481</v>
      </c>
      <c r="B276" s="4" t="s">
        <v>1482</v>
      </c>
      <c r="C276" s="4" t="s">
        <v>1483</v>
      </c>
      <c r="D276" s="4" t="s">
        <v>1484</v>
      </c>
      <c r="E276" s="4" t="s">
        <v>47</v>
      </c>
      <c r="F276" s="4" t="s">
        <v>1485</v>
      </c>
      <c r="G276" s="4" t="s">
        <v>1486</v>
      </c>
      <c r="H276" s="4" t="s">
        <v>47</v>
      </c>
      <c r="I276">
        <f t="shared" si="8"/>
        <v>65760</v>
      </c>
      <c r="J276">
        <f t="shared" si="9"/>
        <v>-65760</v>
      </c>
    </row>
    <row r="277" spans="1:10" ht="15" customHeight="1" x14ac:dyDescent="0.2">
      <c r="A277" s="3" t="s">
        <v>1487</v>
      </c>
      <c r="B277" s="3" t="s">
        <v>1488</v>
      </c>
      <c r="C277" s="3" t="s">
        <v>1489</v>
      </c>
      <c r="D277" s="3" t="s">
        <v>1490</v>
      </c>
      <c r="E277" s="3" t="s">
        <v>47</v>
      </c>
      <c r="F277" s="3" t="s">
        <v>47</v>
      </c>
      <c r="G277" s="3" t="s">
        <v>47</v>
      </c>
      <c r="H277" s="3" t="s">
        <v>394</v>
      </c>
      <c r="I277">
        <f t="shared" si="8"/>
        <v>-0.01</v>
      </c>
      <c r="J277">
        <f t="shared" si="9"/>
        <v>0.02</v>
      </c>
    </row>
    <row r="278" spans="1:10" ht="15" customHeight="1" x14ac:dyDescent="0.2">
      <c r="A278" s="4" t="s">
        <v>1491</v>
      </c>
      <c r="B278" s="4" t="s">
        <v>1492</v>
      </c>
      <c r="C278" s="4" t="s">
        <v>1493</v>
      </c>
      <c r="D278" s="4" t="s">
        <v>1494</v>
      </c>
      <c r="E278" s="4" t="s">
        <v>47</v>
      </c>
      <c r="F278" s="4" t="s">
        <v>1495</v>
      </c>
      <c r="G278" s="4" t="s">
        <v>47</v>
      </c>
      <c r="H278" s="4" t="s">
        <v>47</v>
      </c>
      <c r="I278">
        <f t="shared" si="8"/>
        <v>0</v>
      </c>
      <c r="J278">
        <f t="shared" si="9"/>
        <v>0</v>
      </c>
    </row>
    <row r="279" spans="1:10" ht="15" customHeight="1" x14ac:dyDescent="0.2">
      <c r="A279" s="3" t="s">
        <v>1496</v>
      </c>
      <c r="B279" s="3" t="s">
        <v>1497</v>
      </c>
      <c r="C279" s="3" t="s">
        <v>1498</v>
      </c>
      <c r="D279" s="3" t="s">
        <v>1498</v>
      </c>
      <c r="E279" s="3" t="s">
        <v>1499</v>
      </c>
      <c r="F279" s="3" t="s">
        <v>47</v>
      </c>
      <c r="G279" s="3" t="s">
        <v>1499</v>
      </c>
      <c r="H279" s="3" t="s">
        <v>47</v>
      </c>
      <c r="I279">
        <f t="shared" si="8"/>
        <v>487</v>
      </c>
      <c r="J279">
        <f t="shared" si="9"/>
        <v>-487</v>
      </c>
    </row>
    <row r="280" spans="1:10" ht="15" customHeight="1" x14ac:dyDescent="0.2">
      <c r="A280" s="4" t="s">
        <v>1500</v>
      </c>
      <c r="B280" s="4" t="s">
        <v>1501</v>
      </c>
      <c r="C280" s="4" t="s">
        <v>1502</v>
      </c>
      <c r="D280" s="4" t="s">
        <v>1503</v>
      </c>
      <c r="E280" s="4" t="s">
        <v>47</v>
      </c>
      <c r="F280" s="4" t="s">
        <v>47</v>
      </c>
      <c r="G280" s="4" t="s">
        <v>1504</v>
      </c>
      <c r="H280" s="4" t="s">
        <v>47</v>
      </c>
      <c r="I280">
        <f t="shared" si="8"/>
        <v>8686.8700000000008</v>
      </c>
      <c r="J280">
        <f t="shared" si="9"/>
        <v>-8686.8700000000008</v>
      </c>
    </row>
    <row r="281" spans="1:10" ht="15" customHeight="1" x14ac:dyDescent="0.2">
      <c r="A281" s="3" t="s">
        <v>1505</v>
      </c>
      <c r="B281" s="3" t="s">
        <v>1506</v>
      </c>
      <c r="C281" s="3" t="s">
        <v>1507</v>
      </c>
      <c r="D281" s="3" t="s">
        <v>1508</v>
      </c>
      <c r="E281" s="3" t="s">
        <v>47</v>
      </c>
      <c r="F281" s="3" t="s">
        <v>1509</v>
      </c>
      <c r="G281" s="3" t="s">
        <v>1510</v>
      </c>
      <c r="H281" s="3" t="s">
        <v>47</v>
      </c>
      <c r="I281">
        <f t="shared" si="8"/>
        <v>14171.62</v>
      </c>
      <c r="J281">
        <f t="shared" si="9"/>
        <v>-14171.62</v>
      </c>
    </row>
    <row r="282" spans="1:10" ht="15" customHeight="1" x14ac:dyDescent="0.2">
      <c r="A282" s="4" t="s">
        <v>1511</v>
      </c>
      <c r="B282" s="4" t="s">
        <v>1512</v>
      </c>
      <c r="C282" s="4" t="s">
        <v>1513</v>
      </c>
      <c r="D282" s="4" t="s">
        <v>1514</v>
      </c>
      <c r="E282" s="4" t="s">
        <v>47</v>
      </c>
      <c r="F282" s="4" t="s">
        <v>1515</v>
      </c>
      <c r="G282" s="4" t="s">
        <v>1516</v>
      </c>
      <c r="H282" s="4" t="s">
        <v>47</v>
      </c>
      <c r="I282">
        <f t="shared" si="8"/>
        <v>3400</v>
      </c>
      <c r="J282">
        <f t="shared" si="9"/>
        <v>-3400</v>
      </c>
    </row>
    <row r="283" spans="1:10" ht="15" customHeight="1" x14ac:dyDescent="0.2">
      <c r="A283" s="3" t="s">
        <v>1517</v>
      </c>
      <c r="B283" s="3" t="s">
        <v>1518</v>
      </c>
      <c r="C283" s="3" t="s">
        <v>1519</v>
      </c>
      <c r="D283" s="3" t="s">
        <v>1520</v>
      </c>
      <c r="E283" s="3" t="s">
        <v>47</v>
      </c>
      <c r="F283" s="3" t="s">
        <v>47</v>
      </c>
      <c r="G283" s="3" t="s">
        <v>1521</v>
      </c>
      <c r="H283" s="3" t="s">
        <v>47</v>
      </c>
      <c r="I283">
        <f t="shared" si="8"/>
        <v>993.65</v>
      </c>
      <c r="J283">
        <f t="shared" si="9"/>
        <v>-993.65</v>
      </c>
    </row>
    <row r="284" spans="1:10" ht="15" customHeight="1" x14ac:dyDescent="0.2">
      <c r="A284" s="4" t="s">
        <v>1522</v>
      </c>
      <c r="B284" s="4" t="s">
        <v>1523</v>
      </c>
      <c r="C284" s="4" t="s">
        <v>1524</v>
      </c>
      <c r="D284" s="4" t="s">
        <v>1525</v>
      </c>
      <c r="E284" s="4" t="s">
        <v>47</v>
      </c>
      <c r="F284" s="4" t="s">
        <v>1526</v>
      </c>
      <c r="G284" s="4" t="s">
        <v>1527</v>
      </c>
      <c r="H284" s="4" t="s">
        <v>47</v>
      </c>
      <c r="I284">
        <f t="shared" si="8"/>
        <v>614.54</v>
      </c>
      <c r="J284">
        <f t="shared" si="9"/>
        <v>-614.54</v>
      </c>
    </row>
    <row r="285" spans="1:10" ht="15" customHeight="1" x14ac:dyDescent="0.2">
      <c r="A285" s="3" t="s">
        <v>1528</v>
      </c>
      <c r="B285" s="3" t="s">
        <v>1529</v>
      </c>
      <c r="C285" s="3" t="s">
        <v>1530</v>
      </c>
      <c r="D285" s="3" t="s">
        <v>1531</v>
      </c>
      <c r="E285" s="3" t="s">
        <v>1532</v>
      </c>
      <c r="F285" s="3" t="s">
        <v>1533</v>
      </c>
      <c r="G285" s="3" t="s">
        <v>1534</v>
      </c>
      <c r="H285" s="3" t="s">
        <v>47</v>
      </c>
      <c r="I285">
        <f t="shared" si="8"/>
        <v>4524.0600000000004</v>
      </c>
      <c r="J285">
        <f t="shared" si="9"/>
        <v>-4524.0600000000004</v>
      </c>
    </row>
    <row r="286" spans="1:10" ht="15" customHeight="1" x14ac:dyDescent="0.2">
      <c r="A286" s="4" t="s">
        <v>1535</v>
      </c>
      <c r="B286" s="4" t="s">
        <v>1536</v>
      </c>
      <c r="C286" s="4" t="s">
        <v>1537</v>
      </c>
      <c r="D286" s="4" t="s">
        <v>1537</v>
      </c>
      <c r="E286" s="4" t="s">
        <v>1538</v>
      </c>
      <c r="F286" s="4" t="s">
        <v>1539</v>
      </c>
      <c r="G286" s="4" t="s">
        <v>1540</v>
      </c>
      <c r="H286" s="4" t="s">
        <v>47</v>
      </c>
      <c r="I286">
        <f t="shared" si="8"/>
        <v>12894.19</v>
      </c>
      <c r="J286">
        <f t="shared" si="9"/>
        <v>-12894.19</v>
      </c>
    </row>
    <row r="287" spans="1:10" ht="15" customHeight="1" x14ac:dyDescent="0.2">
      <c r="A287" s="3" t="s">
        <v>1541</v>
      </c>
      <c r="B287" s="3" t="s">
        <v>1542</v>
      </c>
      <c r="C287" s="3" t="s">
        <v>1543</v>
      </c>
      <c r="D287" s="3" t="s">
        <v>1544</v>
      </c>
      <c r="E287" s="3" t="s">
        <v>47</v>
      </c>
      <c r="F287" s="3" t="s">
        <v>47</v>
      </c>
      <c r="G287" s="3" t="s">
        <v>47</v>
      </c>
      <c r="H287" s="3" t="s">
        <v>332</v>
      </c>
      <c r="I287">
        <f t="shared" si="8"/>
        <v>-0.02</v>
      </c>
      <c r="J287">
        <f t="shared" si="9"/>
        <v>0.04</v>
      </c>
    </row>
    <row r="288" spans="1:10" ht="15" customHeight="1" x14ac:dyDescent="0.2">
      <c r="A288" s="4" t="s">
        <v>1545</v>
      </c>
      <c r="B288" s="4" t="s">
        <v>1546</v>
      </c>
      <c r="C288" s="4" t="s">
        <v>1547</v>
      </c>
      <c r="D288" s="4" t="s">
        <v>47</v>
      </c>
      <c r="E288" s="4" t="s">
        <v>47</v>
      </c>
      <c r="F288" s="4" t="s">
        <v>1547</v>
      </c>
      <c r="G288" s="4" t="s">
        <v>47</v>
      </c>
      <c r="H288" s="4" t="s">
        <v>47</v>
      </c>
      <c r="I288">
        <f t="shared" si="8"/>
        <v>0</v>
      </c>
      <c r="J288">
        <f t="shared" si="9"/>
        <v>0</v>
      </c>
    </row>
    <row r="289" spans="1:10" ht="15" customHeight="1" x14ac:dyDescent="0.2">
      <c r="A289" s="3" t="s">
        <v>1548</v>
      </c>
      <c r="B289" s="3" t="s">
        <v>1549</v>
      </c>
      <c r="C289" s="3" t="s">
        <v>1550</v>
      </c>
      <c r="D289" s="3" t="s">
        <v>1551</v>
      </c>
      <c r="E289" s="3" t="s">
        <v>47</v>
      </c>
      <c r="F289" s="3" t="s">
        <v>1552</v>
      </c>
      <c r="G289" s="3" t="s">
        <v>1553</v>
      </c>
      <c r="H289" s="3" t="s">
        <v>47</v>
      </c>
      <c r="I289">
        <f t="shared" si="8"/>
        <v>1868.48</v>
      </c>
      <c r="J289">
        <f t="shared" si="9"/>
        <v>-1868.48</v>
      </c>
    </row>
    <row r="290" spans="1:10" ht="15" customHeight="1" x14ac:dyDescent="0.2">
      <c r="A290" s="4" t="s">
        <v>1554</v>
      </c>
      <c r="B290" s="4" t="s">
        <v>1555</v>
      </c>
      <c r="C290" s="4" t="s">
        <v>1556</v>
      </c>
      <c r="D290" s="4" t="s">
        <v>1557</v>
      </c>
      <c r="E290" s="4" t="s">
        <v>47</v>
      </c>
      <c r="F290" s="4" t="s">
        <v>1558</v>
      </c>
      <c r="G290" s="4" t="s">
        <v>47</v>
      </c>
      <c r="H290" s="4" t="s">
        <v>47</v>
      </c>
      <c r="I290">
        <f t="shared" si="8"/>
        <v>0</v>
      </c>
      <c r="J290">
        <f t="shared" si="9"/>
        <v>0</v>
      </c>
    </row>
    <row r="291" spans="1:10" ht="15" customHeight="1" x14ac:dyDescent="0.2">
      <c r="A291" s="3" t="s">
        <v>1559</v>
      </c>
      <c r="B291" s="3" t="s">
        <v>1560</v>
      </c>
      <c r="C291" s="3" t="s">
        <v>1561</v>
      </c>
      <c r="D291" s="3" t="s">
        <v>1562</v>
      </c>
      <c r="E291" s="3" t="s">
        <v>47</v>
      </c>
      <c r="F291" s="3" t="s">
        <v>1563</v>
      </c>
      <c r="G291" s="3" t="s">
        <v>47</v>
      </c>
      <c r="H291" s="3" t="s">
        <v>47</v>
      </c>
      <c r="I291">
        <f t="shared" si="8"/>
        <v>0</v>
      </c>
      <c r="J291">
        <f t="shared" si="9"/>
        <v>0</v>
      </c>
    </row>
    <row r="292" spans="1:10" ht="15" customHeight="1" x14ac:dyDescent="0.2">
      <c r="A292" s="4" t="s">
        <v>1564</v>
      </c>
      <c r="B292" s="4" t="s">
        <v>1565</v>
      </c>
      <c r="C292" s="4" t="s">
        <v>1566</v>
      </c>
      <c r="D292" s="4" t="s">
        <v>1567</v>
      </c>
      <c r="E292" s="4" t="s">
        <v>47</v>
      </c>
      <c r="F292" s="4" t="s">
        <v>47</v>
      </c>
      <c r="G292" s="4" t="s">
        <v>1568</v>
      </c>
      <c r="H292" s="4" t="s">
        <v>47</v>
      </c>
      <c r="I292">
        <f t="shared" si="8"/>
        <v>13800</v>
      </c>
      <c r="J292">
        <f t="shared" si="9"/>
        <v>-13800</v>
      </c>
    </row>
    <row r="293" spans="1:10" ht="15" customHeight="1" x14ac:dyDescent="0.2">
      <c r="A293" s="3" t="s">
        <v>1569</v>
      </c>
      <c r="B293" s="3" t="s">
        <v>1570</v>
      </c>
      <c r="C293" s="3" t="s">
        <v>1571</v>
      </c>
      <c r="D293" s="3" t="s">
        <v>1572</v>
      </c>
      <c r="E293" s="3" t="s">
        <v>1573</v>
      </c>
      <c r="F293" s="3" t="s">
        <v>1573</v>
      </c>
      <c r="G293" s="3" t="s">
        <v>1574</v>
      </c>
      <c r="H293" s="3" t="s">
        <v>47</v>
      </c>
      <c r="I293">
        <f t="shared" si="8"/>
        <v>3630.33</v>
      </c>
      <c r="J293">
        <f t="shared" si="9"/>
        <v>-3630.33</v>
      </c>
    </row>
    <row r="294" spans="1:10" ht="15" customHeight="1" x14ac:dyDescent="0.2">
      <c r="A294" s="4" t="s">
        <v>1575</v>
      </c>
      <c r="B294" s="4" t="s">
        <v>1576</v>
      </c>
      <c r="C294" s="4" t="s">
        <v>1577</v>
      </c>
      <c r="D294" s="4" t="s">
        <v>1578</v>
      </c>
      <c r="E294" s="4" t="s">
        <v>47</v>
      </c>
      <c r="F294" s="4" t="s">
        <v>1579</v>
      </c>
      <c r="G294" s="4" t="s">
        <v>47</v>
      </c>
      <c r="H294" s="4" t="s">
        <v>47</v>
      </c>
      <c r="I294">
        <f t="shared" si="8"/>
        <v>0</v>
      </c>
      <c r="J294">
        <f t="shared" si="9"/>
        <v>0</v>
      </c>
    </row>
    <row r="295" spans="1:10" ht="15" customHeight="1" x14ac:dyDescent="0.2">
      <c r="A295" s="3" t="s">
        <v>1580</v>
      </c>
      <c r="B295" s="3" t="s">
        <v>1581</v>
      </c>
      <c r="C295" s="3" t="s">
        <v>1582</v>
      </c>
      <c r="D295" s="3" t="s">
        <v>1583</v>
      </c>
      <c r="E295" s="3" t="s">
        <v>47</v>
      </c>
      <c r="F295" s="3" t="s">
        <v>47</v>
      </c>
      <c r="G295" s="3" t="s">
        <v>1584</v>
      </c>
      <c r="H295" s="3" t="s">
        <v>47</v>
      </c>
      <c r="I295">
        <f t="shared" si="8"/>
        <v>1982.17</v>
      </c>
      <c r="J295">
        <f t="shared" si="9"/>
        <v>-1982.17</v>
      </c>
    </row>
    <row r="296" spans="1:10" ht="15" customHeight="1" x14ac:dyDescent="0.2">
      <c r="A296" s="4" t="s">
        <v>1585</v>
      </c>
      <c r="B296" s="4" t="s">
        <v>1586</v>
      </c>
      <c r="C296" s="4" t="s">
        <v>1587</v>
      </c>
      <c r="D296" s="4" t="s">
        <v>1588</v>
      </c>
      <c r="E296" s="4" t="s">
        <v>1589</v>
      </c>
      <c r="F296" s="4" t="s">
        <v>1590</v>
      </c>
      <c r="G296" s="4" t="s">
        <v>1591</v>
      </c>
      <c r="H296" s="4" t="s">
        <v>47</v>
      </c>
      <c r="I296">
        <f t="shared" si="8"/>
        <v>18017</v>
      </c>
      <c r="J296">
        <f t="shared" si="9"/>
        <v>-18017</v>
      </c>
    </row>
    <row r="297" spans="1:10" ht="15" customHeight="1" x14ac:dyDescent="0.2">
      <c r="A297" s="3" t="s">
        <v>1592</v>
      </c>
      <c r="B297" s="3" t="s">
        <v>1593</v>
      </c>
      <c r="C297" s="3" t="s">
        <v>1594</v>
      </c>
      <c r="D297" s="3" t="s">
        <v>1595</v>
      </c>
      <c r="E297" s="3" t="s">
        <v>1596</v>
      </c>
      <c r="F297" s="3" t="s">
        <v>1597</v>
      </c>
      <c r="G297" s="3" t="s">
        <v>1598</v>
      </c>
      <c r="H297" s="3" t="s">
        <v>47</v>
      </c>
      <c r="I297">
        <f t="shared" si="8"/>
        <v>32673.93</v>
      </c>
      <c r="J297">
        <f t="shared" si="9"/>
        <v>-32673.93</v>
      </c>
    </row>
    <row r="298" spans="1:10" ht="15" customHeight="1" x14ac:dyDescent="0.2">
      <c r="A298" s="4" t="s">
        <v>1599</v>
      </c>
      <c r="B298" s="4" t="s">
        <v>1600</v>
      </c>
      <c r="C298" s="4" t="s">
        <v>1601</v>
      </c>
      <c r="D298" s="4" t="s">
        <v>1602</v>
      </c>
      <c r="E298" s="4" t="s">
        <v>47</v>
      </c>
      <c r="F298" s="4" t="s">
        <v>47</v>
      </c>
      <c r="G298" s="4" t="s">
        <v>47</v>
      </c>
      <c r="H298" s="4" t="s">
        <v>394</v>
      </c>
      <c r="I298">
        <f t="shared" si="8"/>
        <v>-0.01</v>
      </c>
      <c r="J298">
        <f t="shared" si="9"/>
        <v>0.02</v>
      </c>
    </row>
    <row r="299" spans="1:10" ht="15" customHeight="1" x14ac:dyDescent="0.2">
      <c r="A299" s="3" t="s">
        <v>1603</v>
      </c>
      <c r="B299" s="3" t="s">
        <v>1604</v>
      </c>
      <c r="C299" s="3" t="s">
        <v>1605</v>
      </c>
      <c r="D299" s="3" t="s">
        <v>1605</v>
      </c>
      <c r="E299" s="3" t="s">
        <v>1606</v>
      </c>
      <c r="F299" s="3" t="s">
        <v>1606</v>
      </c>
      <c r="G299" s="3" t="s">
        <v>47</v>
      </c>
      <c r="H299" s="3" t="s">
        <v>47</v>
      </c>
      <c r="I299">
        <f t="shared" si="8"/>
        <v>0</v>
      </c>
      <c r="J299">
        <f t="shared" si="9"/>
        <v>0</v>
      </c>
    </row>
    <row r="300" spans="1:10" ht="15" customHeight="1" x14ac:dyDescent="0.2">
      <c r="A300" s="4" t="s">
        <v>1607</v>
      </c>
      <c r="B300" s="4" t="s">
        <v>1608</v>
      </c>
      <c r="C300" s="4" t="s">
        <v>1609</v>
      </c>
      <c r="D300" s="4" t="s">
        <v>47</v>
      </c>
      <c r="E300" s="4" t="s">
        <v>47</v>
      </c>
      <c r="F300" s="4" t="s">
        <v>47</v>
      </c>
      <c r="G300" s="4" t="s">
        <v>1609</v>
      </c>
      <c r="H300" s="4" t="s">
        <v>47</v>
      </c>
      <c r="I300">
        <f t="shared" si="8"/>
        <v>10283.290000000001</v>
      </c>
      <c r="J300">
        <f t="shared" si="9"/>
        <v>-10283.290000000001</v>
      </c>
    </row>
    <row r="301" spans="1:10" ht="15" customHeight="1" x14ac:dyDescent="0.2">
      <c r="A301" s="3" t="s">
        <v>1610</v>
      </c>
      <c r="B301" s="3" t="s">
        <v>1611</v>
      </c>
      <c r="C301" s="3" t="s">
        <v>1612</v>
      </c>
      <c r="D301" s="3" t="s">
        <v>1613</v>
      </c>
      <c r="E301" s="3" t="s">
        <v>47</v>
      </c>
      <c r="F301" s="3" t="s">
        <v>1614</v>
      </c>
      <c r="G301" s="3" t="s">
        <v>1615</v>
      </c>
      <c r="H301" s="3" t="s">
        <v>47</v>
      </c>
      <c r="I301">
        <f t="shared" si="8"/>
        <v>69357.820000000007</v>
      </c>
      <c r="J301">
        <f t="shared" si="9"/>
        <v>-69357.820000000007</v>
      </c>
    </row>
    <row r="302" spans="1:10" ht="15" customHeight="1" x14ac:dyDescent="0.2">
      <c r="A302" s="4" t="s">
        <v>1616</v>
      </c>
      <c r="B302" s="4" t="s">
        <v>1617</v>
      </c>
      <c r="C302" s="4" t="s">
        <v>1618</v>
      </c>
      <c r="D302" s="4" t="s">
        <v>1619</v>
      </c>
      <c r="E302" s="4" t="s">
        <v>47</v>
      </c>
      <c r="F302" s="4" t="s">
        <v>1620</v>
      </c>
      <c r="G302" s="4" t="s">
        <v>1621</v>
      </c>
      <c r="H302" s="4" t="s">
        <v>47</v>
      </c>
      <c r="I302">
        <f t="shared" si="8"/>
        <v>3984.39</v>
      </c>
      <c r="J302">
        <f t="shared" si="9"/>
        <v>-3984.39</v>
      </c>
    </row>
    <row r="303" spans="1:10" ht="15" customHeight="1" x14ac:dyDescent="0.2">
      <c r="A303" s="3" t="s">
        <v>1622</v>
      </c>
      <c r="B303" s="3" t="s">
        <v>1623</v>
      </c>
      <c r="C303" s="3" t="s">
        <v>1624</v>
      </c>
      <c r="D303" s="3" t="s">
        <v>1625</v>
      </c>
      <c r="E303" s="3" t="s">
        <v>47</v>
      </c>
      <c r="F303" s="3" t="s">
        <v>47</v>
      </c>
      <c r="G303" s="3" t="s">
        <v>1626</v>
      </c>
      <c r="H303" s="3" t="s">
        <v>47</v>
      </c>
      <c r="I303">
        <f t="shared" si="8"/>
        <v>2468.33</v>
      </c>
      <c r="J303">
        <f t="shared" si="9"/>
        <v>-2468.33</v>
      </c>
    </row>
    <row r="304" spans="1:10" ht="15" customHeight="1" x14ac:dyDescent="0.2">
      <c r="A304" s="4" t="s">
        <v>1627</v>
      </c>
      <c r="B304" s="4" t="s">
        <v>1628</v>
      </c>
      <c r="C304" s="4" t="s">
        <v>1629</v>
      </c>
      <c r="D304" s="4" t="s">
        <v>1630</v>
      </c>
      <c r="E304" s="4" t="s">
        <v>47</v>
      </c>
      <c r="F304" s="4" t="s">
        <v>47</v>
      </c>
      <c r="G304" s="4" t="s">
        <v>1631</v>
      </c>
      <c r="H304" s="4" t="s">
        <v>47</v>
      </c>
      <c r="I304">
        <f t="shared" si="8"/>
        <v>3745.75</v>
      </c>
      <c r="J304">
        <f t="shared" si="9"/>
        <v>-3745.75</v>
      </c>
    </row>
    <row r="305" spans="1:10" ht="15" customHeight="1" x14ac:dyDescent="0.2">
      <c r="A305" s="3" t="s">
        <v>1632</v>
      </c>
      <c r="B305" s="3" t="s">
        <v>1633</v>
      </c>
      <c r="C305" s="3" t="s">
        <v>1634</v>
      </c>
      <c r="D305" s="3" t="s">
        <v>1635</v>
      </c>
      <c r="E305" s="3" t="s">
        <v>47</v>
      </c>
      <c r="F305" s="3" t="s">
        <v>1636</v>
      </c>
      <c r="G305" s="3" t="s">
        <v>47</v>
      </c>
      <c r="H305" s="3" t="s">
        <v>47</v>
      </c>
      <c r="I305">
        <f t="shared" si="8"/>
        <v>0</v>
      </c>
      <c r="J305">
        <f t="shared" si="9"/>
        <v>0</v>
      </c>
    </row>
    <row r="306" spans="1:10" ht="15" customHeight="1" x14ac:dyDescent="0.2">
      <c r="A306" s="4" t="s">
        <v>1637</v>
      </c>
      <c r="B306" s="4" t="s">
        <v>1638</v>
      </c>
      <c r="C306" s="4" t="s">
        <v>1639</v>
      </c>
      <c r="D306" s="4" t="s">
        <v>1639</v>
      </c>
      <c r="E306" s="4" t="s">
        <v>1640</v>
      </c>
      <c r="F306" s="4" t="s">
        <v>1640</v>
      </c>
      <c r="G306" s="4" t="s">
        <v>47</v>
      </c>
      <c r="H306" s="4" t="s">
        <v>47</v>
      </c>
      <c r="I306">
        <f t="shared" si="8"/>
        <v>0</v>
      </c>
      <c r="J306">
        <f t="shared" si="9"/>
        <v>0</v>
      </c>
    </row>
    <row r="307" spans="1:10" ht="15" customHeight="1" x14ac:dyDescent="0.2">
      <c r="A307" s="3" t="s">
        <v>1641</v>
      </c>
      <c r="B307" s="3" t="s">
        <v>1642</v>
      </c>
      <c r="C307" s="3" t="s">
        <v>1643</v>
      </c>
      <c r="D307" s="3" t="s">
        <v>337</v>
      </c>
      <c r="E307" s="3" t="s">
        <v>47</v>
      </c>
      <c r="F307" s="3" t="s">
        <v>47</v>
      </c>
      <c r="G307" s="3" t="s">
        <v>1644</v>
      </c>
      <c r="H307" s="3" t="s">
        <v>47</v>
      </c>
      <c r="I307">
        <f t="shared" si="8"/>
        <v>800</v>
      </c>
      <c r="J307">
        <f t="shared" si="9"/>
        <v>-800</v>
      </c>
    </row>
    <row r="308" spans="1:10" ht="15" customHeight="1" x14ac:dyDescent="0.2">
      <c r="A308" s="4" t="s">
        <v>1645</v>
      </c>
      <c r="B308" s="4" t="s">
        <v>1646</v>
      </c>
      <c r="C308" s="4" t="s">
        <v>1647</v>
      </c>
      <c r="D308" s="4" t="s">
        <v>1648</v>
      </c>
      <c r="E308" s="4" t="s">
        <v>47</v>
      </c>
      <c r="F308" s="4" t="s">
        <v>47</v>
      </c>
      <c r="G308" s="4" t="s">
        <v>1649</v>
      </c>
      <c r="H308" s="4" t="s">
        <v>47</v>
      </c>
      <c r="I308">
        <f t="shared" si="8"/>
        <v>333.33</v>
      </c>
      <c r="J308">
        <f t="shared" si="9"/>
        <v>-333.33</v>
      </c>
    </row>
    <row r="309" spans="1:10" ht="15" customHeight="1" x14ac:dyDescent="0.2">
      <c r="A309" s="3" t="s">
        <v>1650</v>
      </c>
      <c r="B309" s="3" t="s">
        <v>1651</v>
      </c>
      <c r="C309" s="3" t="s">
        <v>1652</v>
      </c>
      <c r="D309" s="3" t="s">
        <v>1653</v>
      </c>
      <c r="E309" s="3" t="s">
        <v>47</v>
      </c>
      <c r="F309" s="3" t="s">
        <v>1654</v>
      </c>
      <c r="G309" s="3" t="s">
        <v>1655</v>
      </c>
      <c r="H309" s="3" t="s">
        <v>47</v>
      </c>
      <c r="I309">
        <f t="shared" si="8"/>
        <v>12348.53</v>
      </c>
      <c r="J309">
        <f t="shared" si="9"/>
        <v>-12348.53</v>
      </c>
    </row>
    <row r="310" spans="1:10" ht="15" customHeight="1" x14ac:dyDescent="0.2">
      <c r="A310" s="4" t="s">
        <v>1656</v>
      </c>
      <c r="B310" s="4" t="s">
        <v>1657</v>
      </c>
      <c r="C310" s="4" t="s">
        <v>1658</v>
      </c>
      <c r="D310" s="4" t="s">
        <v>1659</v>
      </c>
      <c r="E310" s="4" t="s">
        <v>47</v>
      </c>
      <c r="F310" s="4" t="s">
        <v>1660</v>
      </c>
      <c r="G310" s="4" t="s">
        <v>47</v>
      </c>
      <c r="H310" s="4" t="s">
        <v>47</v>
      </c>
      <c r="I310">
        <f t="shared" si="8"/>
        <v>0</v>
      </c>
      <c r="J310">
        <f t="shared" si="9"/>
        <v>0</v>
      </c>
    </row>
    <row r="311" spans="1:10" ht="15" customHeight="1" x14ac:dyDescent="0.2">
      <c r="A311" s="3" t="s">
        <v>1661</v>
      </c>
      <c r="B311" s="3" t="s">
        <v>1662</v>
      </c>
      <c r="C311" s="3" t="s">
        <v>1663</v>
      </c>
      <c r="D311" s="3" t="s">
        <v>1664</v>
      </c>
      <c r="E311" s="3" t="s">
        <v>1665</v>
      </c>
      <c r="F311" s="3" t="s">
        <v>1666</v>
      </c>
      <c r="G311" s="3" t="s">
        <v>1667</v>
      </c>
      <c r="H311" s="3" t="s">
        <v>47</v>
      </c>
      <c r="I311">
        <f t="shared" si="8"/>
        <v>158317.38</v>
      </c>
      <c r="J311">
        <f t="shared" si="9"/>
        <v>-158317.38</v>
      </c>
    </row>
    <row r="312" spans="1:10" ht="15" customHeight="1" x14ac:dyDescent="0.2">
      <c r="A312" s="4" t="s">
        <v>1668</v>
      </c>
      <c r="B312" s="4" t="s">
        <v>1669</v>
      </c>
      <c r="C312" s="4" t="s">
        <v>1670</v>
      </c>
      <c r="D312" s="4" t="s">
        <v>1671</v>
      </c>
      <c r="E312" s="4" t="s">
        <v>1672</v>
      </c>
      <c r="F312" s="4" t="s">
        <v>1673</v>
      </c>
      <c r="G312" s="4" t="s">
        <v>1674</v>
      </c>
      <c r="H312" s="4" t="s">
        <v>47</v>
      </c>
      <c r="I312">
        <f t="shared" si="8"/>
        <v>34819.11</v>
      </c>
      <c r="J312">
        <f t="shared" si="9"/>
        <v>-34819.11</v>
      </c>
    </row>
    <row r="313" spans="1:10" ht="15" customHeight="1" x14ac:dyDescent="0.2">
      <c r="A313" s="3" t="s">
        <v>1675</v>
      </c>
      <c r="B313" s="3" t="s">
        <v>1676</v>
      </c>
      <c r="C313" s="3" t="s">
        <v>1677</v>
      </c>
      <c r="D313" s="3" t="s">
        <v>1678</v>
      </c>
      <c r="E313" s="3" t="s">
        <v>47</v>
      </c>
      <c r="F313" s="3" t="s">
        <v>1679</v>
      </c>
      <c r="G313" s="3" t="s">
        <v>47</v>
      </c>
      <c r="H313" s="3" t="s">
        <v>47</v>
      </c>
      <c r="I313">
        <f t="shared" si="8"/>
        <v>0</v>
      </c>
      <c r="J313">
        <f t="shared" si="9"/>
        <v>0</v>
      </c>
    </row>
    <row r="314" spans="1:10" ht="15" customHeight="1" x14ac:dyDescent="0.2">
      <c r="A314" s="4" t="s">
        <v>1680</v>
      </c>
      <c r="B314" s="4" t="s">
        <v>1681</v>
      </c>
      <c r="C314" s="4" t="s">
        <v>1682</v>
      </c>
      <c r="D314" s="4" t="s">
        <v>1683</v>
      </c>
      <c r="E314" s="4" t="s">
        <v>1684</v>
      </c>
      <c r="F314" s="4" t="s">
        <v>1685</v>
      </c>
      <c r="G314" s="4" t="s">
        <v>47</v>
      </c>
      <c r="H314" s="4" t="s">
        <v>47</v>
      </c>
      <c r="I314">
        <f t="shared" si="8"/>
        <v>0</v>
      </c>
      <c r="J314">
        <f t="shared" si="9"/>
        <v>0</v>
      </c>
    </row>
    <row r="315" spans="1:10" ht="15" customHeight="1" x14ac:dyDescent="0.2">
      <c r="A315" s="3" t="s">
        <v>1686</v>
      </c>
      <c r="B315" s="3" t="s">
        <v>1687</v>
      </c>
      <c r="C315" s="3" t="s">
        <v>1378</v>
      </c>
      <c r="D315" s="3" t="s">
        <v>1688</v>
      </c>
      <c r="E315" s="3" t="s">
        <v>47</v>
      </c>
      <c r="F315" s="3" t="s">
        <v>47</v>
      </c>
      <c r="G315" s="3" t="s">
        <v>1689</v>
      </c>
      <c r="H315" s="3" t="s">
        <v>47</v>
      </c>
      <c r="I315">
        <f t="shared" si="8"/>
        <v>4000</v>
      </c>
      <c r="J315">
        <f t="shared" si="9"/>
        <v>-4000</v>
      </c>
    </row>
    <row r="316" spans="1:10" ht="15" customHeight="1" x14ac:dyDescent="0.2">
      <c r="A316" s="4" t="s">
        <v>1690</v>
      </c>
      <c r="B316" s="4" t="s">
        <v>1691</v>
      </c>
      <c r="C316" s="4" t="s">
        <v>47</v>
      </c>
      <c r="D316" s="4" t="s">
        <v>47</v>
      </c>
      <c r="E316" s="4" t="s">
        <v>1688</v>
      </c>
      <c r="F316" s="4" t="s">
        <v>47</v>
      </c>
      <c r="G316" s="4" t="s">
        <v>1688</v>
      </c>
      <c r="H316" s="4" t="s">
        <v>47</v>
      </c>
      <c r="I316">
        <f t="shared" si="8"/>
        <v>8000</v>
      </c>
      <c r="J316">
        <f t="shared" si="9"/>
        <v>-8000</v>
      </c>
    </row>
    <row r="317" spans="1:10" ht="15" customHeight="1" x14ac:dyDescent="0.2">
      <c r="A317" s="3" t="s">
        <v>1692</v>
      </c>
      <c r="B317" s="3" t="s">
        <v>1693</v>
      </c>
      <c r="C317" s="3" t="s">
        <v>1694</v>
      </c>
      <c r="D317" s="3" t="s">
        <v>1695</v>
      </c>
      <c r="E317" s="3" t="s">
        <v>47</v>
      </c>
      <c r="F317" s="3" t="s">
        <v>47</v>
      </c>
      <c r="G317" s="3" t="s">
        <v>1696</v>
      </c>
      <c r="H317" s="3" t="s">
        <v>47</v>
      </c>
      <c r="I317">
        <f t="shared" si="8"/>
        <v>1715</v>
      </c>
      <c r="J317">
        <f t="shared" si="9"/>
        <v>-1715</v>
      </c>
    </row>
    <row r="318" spans="1:10" ht="15" customHeight="1" x14ac:dyDescent="0.2">
      <c r="A318" s="4" t="s">
        <v>1697</v>
      </c>
      <c r="B318" s="4" t="s">
        <v>1698</v>
      </c>
      <c r="C318" s="4" t="s">
        <v>1699</v>
      </c>
      <c r="D318" s="4" t="s">
        <v>1699</v>
      </c>
      <c r="E318" s="4" t="s">
        <v>1700</v>
      </c>
      <c r="F318" s="4" t="s">
        <v>47</v>
      </c>
      <c r="G318" s="4" t="s">
        <v>1700</v>
      </c>
      <c r="H318" s="4" t="s">
        <v>47</v>
      </c>
      <c r="I318">
        <f t="shared" si="8"/>
        <v>452.01</v>
      </c>
      <c r="J318">
        <f t="shared" si="9"/>
        <v>-452.01</v>
      </c>
    </row>
    <row r="319" spans="1:10" ht="15" customHeight="1" x14ac:dyDescent="0.2">
      <c r="A319" s="3" t="s">
        <v>1701</v>
      </c>
      <c r="B319" s="3" t="s">
        <v>1702</v>
      </c>
      <c r="C319" s="3" t="s">
        <v>1703</v>
      </c>
      <c r="D319" s="3" t="s">
        <v>47</v>
      </c>
      <c r="E319" s="3" t="s">
        <v>1704</v>
      </c>
      <c r="F319" s="3" t="s">
        <v>1705</v>
      </c>
      <c r="G319" s="3" t="s">
        <v>1706</v>
      </c>
      <c r="H319" s="3" t="s">
        <v>47</v>
      </c>
      <c r="I319">
        <f t="shared" si="8"/>
        <v>6425.15</v>
      </c>
      <c r="J319">
        <f t="shared" si="9"/>
        <v>-6425.15</v>
      </c>
    </row>
    <row r="320" spans="1:10" ht="15" customHeight="1" x14ac:dyDescent="0.2">
      <c r="A320" s="4" t="s">
        <v>1707</v>
      </c>
      <c r="B320" s="4" t="s">
        <v>1708</v>
      </c>
      <c r="C320" s="4" t="s">
        <v>1709</v>
      </c>
      <c r="D320" s="4" t="s">
        <v>1710</v>
      </c>
      <c r="E320" s="4" t="s">
        <v>47</v>
      </c>
      <c r="F320" s="4" t="s">
        <v>47</v>
      </c>
      <c r="G320" s="4" t="s">
        <v>1711</v>
      </c>
      <c r="H320" s="4" t="s">
        <v>47</v>
      </c>
      <c r="I320">
        <f t="shared" si="8"/>
        <v>644.45000000000005</v>
      </c>
      <c r="J320">
        <f t="shared" si="9"/>
        <v>-644.45000000000005</v>
      </c>
    </row>
    <row r="321" spans="1:10" ht="15" customHeight="1" x14ac:dyDescent="0.2">
      <c r="A321" s="3" t="s">
        <v>1712</v>
      </c>
      <c r="B321" s="3" t="s">
        <v>1713</v>
      </c>
      <c r="C321" s="3" t="s">
        <v>1714</v>
      </c>
      <c r="D321" s="3" t="s">
        <v>1715</v>
      </c>
      <c r="E321" s="3" t="s">
        <v>47</v>
      </c>
      <c r="F321" s="3" t="s">
        <v>1716</v>
      </c>
      <c r="G321" s="3" t="s">
        <v>1717</v>
      </c>
      <c r="H321" s="3" t="s">
        <v>47</v>
      </c>
      <c r="I321">
        <f t="shared" si="8"/>
        <v>10416.459999999999</v>
      </c>
      <c r="J321">
        <f t="shared" si="9"/>
        <v>-10416.459999999999</v>
      </c>
    </row>
    <row r="322" spans="1:10" ht="15" customHeight="1" x14ac:dyDescent="0.2">
      <c r="A322" s="4" t="s">
        <v>1718</v>
      </c>
      <c r="B322" s="4" t="s">
        <v>1719</v>
      </c>
      <c r="C322" s="4" t="s">
        <v>1720</v>
      </c>
      <c r="D322" s="4" t="s">
        <v>1721</v>
      </c>
      <c r="E322" s="4" t="s">
        <v>47</v>
      </c>
      <c r="F322" s="4" t="s">
        <v>1722</v>
      </c>
      <c r="G322" s="4" t="s">
        <v>1723</v>
      </c>
      <c r="H322" s="4" t="s">
        <v>47</v>
      </c>
      <c r="I322">
        <f t="shared" si="8"/>
        <v>1030.8699999999999</v>
      </c>
      <c r="J322">
        <f t="shared" si="9"/>
        <v>-1030.8699999999999</v>
      </c>
    </row>
    <row r="323" spans="1:10" ht="15" customHeight="1" x14ac:dyDescent="0.2">
      <c r="A323" s="3" t="s">
        <v>1724</v>
      </c>
      <c r="B323" s="3" t="s">
        <v>1725</v>
      </c>
      <c r="C323" s="3" t="s">
        <v>1726</v>
      </c>
      <c r="D323" s="3" t="s">
        <v>47</v>
      </c>
      <c r="E323" s="3" t="s">
        <v>47</v>
      </c>
      <c r="F323" s="3" t="s">
        <v>1727</v>
      </c>
      <c r="G323" s="3" t="s">
        <v>1728</v>
      </c>
      <c r="H323" s="3" t="s">
        <v>47</v>
      </c>
      <c r="I323">
        <f t="shared" si="8"/>
        <v>2368.17</v>
      </c>
      <c r="J323">
        <f t="shared" si="9"/>
        <v>-2368.17</v>
      </c>
    </row>
    <row r="324" spans="1:10" ht="15" customHeight="1" x14ac:dyDescent="0.2">
      <c r="A324" s="4" t="s">
        <v>1729</v>
      </c>
      <c r="B324" s="4" t="s">
        <v>1730</v>
      </c>
      <c r="C324" s="4" t="s">
        <v>1731</v>
      </c>
      <c r="D324" s="4" t="s">
        <v>1732</v>
      </c>
      <c r="E324" s="4" t="s">
        <v>47</v>
      </c>
      <c r="F324" s="4" t="s">
        <v>47</v>
      </c>
      <c r="G324" s="4" t="s">
        <v>1733</v>
      </c>
      <c r="H324" s="4" t="s">
        <v>47</v>
      </c>
      <c r="I324">
        <f t="shared" ref="I324:I387" si="10">IF(MID(A324,1,1)="1",G324-H324,IF(MID(A324,1,1)="2",H324-G324,"VERIFICAR"))</f>
        <v>17398.740000000002</v>
      </c>
      <c r="J324">
        <f t="shared" ref="J324:J387" si="11">IF(MID(A324,1,1)="1",H324-I324,IF(MID(B324,1,1)="2",I324-H324,IF(MID(A324,1,1)="3",F324-E324,IF(MID(A324,1,1)="4",E324-F324,"VERIFICAR"))))</f>
        <v>-17398.740000000002</v>
      </c>
    </row>
    <row r="325" spans="1:10" ht="15" customHeight="1" x14ac:dyDescent="0.2">
      <c r="A325" s="3" t="s">
        <v>1734</v>
      </c>
      <c r="B325" s="3" t="s">
        <v>1735</v>
      </c>
      <c r="C325" s="3" t="s">
        <v>1736</v>
      </c>
      <c r="D325" s="3" t="s">
        <v>1737</v>
      </c>
      <c r="E325" s="3" t="s">
        <v>1738</v>
      </c>
      <c r="F325" s="3" t="s">
        <v>1739</v>
      </c>
      <c r="G325" s="3" t="s">
        <v>1740</v>
      </c>
      <c r="H325" s="3" t="s">
        <v>47</v>
      </c>
      <c r="I325">
        <f t="shared" si="10"/>
        <v>14646.49</v>
      </c>
      <c r="J325">
        <f t="shared" si="11"/>
        <v>-14646.49</v>
      </c>
    </row>
    <row r="326" spans="1:10" ht="15" customHeight="1" x14ac:dyDescent="0.2">
      <c r="A326" s="4" t="s">
        <v>1741</v>
      </c>
      <c r="B326" s="4" t="s">
        <v>1742</v>
      </c>
      <c r="C326" s="4" t="s">
        <v>1743</v>
      </c>
      <c r="D326" s="4" t="s">
        <v>1744</v>
      </c>
      <c r="E326" s="4" t="s">
        <v>47</v>
      </c>
      <c r="F326" s="4" t="s">
        <v>1745</v>
      </c>
      <c r="G326" s="4" t="s">
        <v>1746</v>
      </c>
      <c r="H326" s="4" t="s">
        <v>47</v>
      </c>
      <c r="I326">
        <f t="shared" si="10"/>
        <v>2422.7600000000002</v>
      </c>
      <c r="J326">
        <f t="shared" si="11"/>
        <v>-2422.7600000000002</v>
      </c>
    </row>
    <row r="327" spans="1:10" ht="15" customHeight="1" x14ac:dyDescent="0.2">
      <c r="A327" s="3" t="s">
        <v>1747</v>
      </c>
      <c r="B327" s="3" t="s">
        <v>1748</v>
      </c>
      <c r="C327" s="3" t="s">
        <v>1749</v>
      </c>
      <c r="D327" s="3" t="s">
        <v>1750</v>
      </c>
      <c r="E327" s="3" t="s">
        <v>47</v>
      </c>
      <c r="F327" s="3" t="s">
        <v>47</v>
      </c>
      <c r="G327" s="3" t="s">
        <v>1751</v>
      </c>
      <c r="H327" s="3" t="s">
        <v>47</v>
      </c>
      <c r="I327">
        <f t="shared" si="10"/>
        <v>6538.48</v>
      </c>
      <c r="J327">
        <f t="shared" si="11"/>
        <v>-6538.48</v>
      </c>
    </row>
    <row r="328" spans="1:10" ht="15" customHeight="1" x14ac:dyDescent="0.2">
      <c r="A328" s="4" t="s">
        <v>1752</v>
      </c>
      <c r="B328" s="4" t="s">
        <v>1753</v>
      </c>
      <c r="C328" s="4" t="s">
        <v>1754</v>
      </c>
      <c r="D328" s="4" t="s">
        <v>1755</v>
      </c>
      <c r="E328" s="4" t="s">
        <v>47</v>
      </c>
      <c r="F328" s="4" t="s">
        <v>1756</v>
      </c>
      <c r="G328" s="4" t="s">
        <v>1757</v>
      </c>
      <c r="H328" s="4" t="s">
        <v>47</v>
      </c>
      <c r="I328">
        <f t="shared" si="10"/>
        <v>3082.01</v>
      </c>
      <c r="J328">
        <f t="shared" si="11"/>
        <v>-3082.01</v>
      </c>
    </row>
    <row r="329" spans="1:10" ht="15" customHeight="1" x14ac:dyDescent="0.2">
      <c r="A329" s="3" t="s">
        <v>1758</v>
      </c>
      <c r="B329" s="3" t="s">
        <v>1759</v>
      </c>
      <c r="C329" s="3" t="s">
        <v>1760</v>
      </c>
      <c r="D329" s="3" t="s">
        <v>1760</v>
      </c>
      <c r="E329" s="3" t="s">
        <v>1761</v>
      </c>
      <c r="F329" s="3" t="s">
        <v>1761</v>
      </c>
      <c r="G329" s="3" t="s">
        <v>47</v>
      </c>
      <c r="H329" s="3" t="s">
        <v>47</v>
      </c>
      <c r="I329">
        <f t="shared" si="10"/>
        <v>0</v>
      </c>
      <c r="J329">
        <f t="shared" si="11"/>
        <v>0</v>
      </c>
    </row>
    <row r="330" spans="1:10" ht="15" customHeight="1" x14ac:dyDescent="0.2">
      <c r="A330" s="4" t="s">
        <v>1762</v>
      </c>
      <c r="B330" s="4" t="s">
        <v>1763</v>
      </c>
      <c r="C330" s="4" t="s">
        <v>1764</v>
      </c>
      <c r="D330" s="4" t="s">
        <v>1765</v>
      </c>
      <c r="E330" s="4" t="s">
        <v>1766</v>
      </c>
      <c r="F330" s="4" t="s">
        <v>1767</v>
      </c>
      <c r="G330" s="4" t="s">
        <v>1768</v>
      </c>
      <c r="H330" s="4" t="s">
        <v>47</v>
      </c>
      <c r="I330">
        <f t="shared" si="10"/>
        <v>52769.41</v>
      </c>
      <c r="J330">
        <f t="shared" si="11"/>
        <v>-52769.41</v>
      </c>
    </row>
    <row r="331" spans="1:10" ht="15" customHeight="1" x14ac:dyDescent="0.2">
      <c r="A331" s="3" t="s">
        <v>1769</v>
      </c>
      <c r="B331" s="3" t="s">
        <v>1770</v>
      </c>
      <c r="C331" s="3" t="s">
        <v>1771</v>
      </c>
      <c r="D331" s="3" t="s">
        <v>1772</v>
      </c>
      <c r="E331" s="3" t="s">
        <v>47</v>
      </c>
      <c r="F331" s="3" t="s">
        <v>1773</v>
      </c>
      <c r="G331" s="3" t="s">
        <v>47</v>
      </c>
      <c r="H331" s="3" t="s">
        <v>47</v>
      </c>
      <c r="I331">
        <f t="shared" si="10"/>
        <v>0</v>
      </c>
      <c r="J331">
        <f t="shared" si="11"/>
        <v>0</v>
      </c>
    </row>
    <row r="332" spans="1:10" ht="15" customHeight="1" x14ac:dyDescent="0.2">
      <c r="A332" s="4" t="s">
        <v>1774</v>
      </c>
      <c r="B332" s="4" t="s">
        <v>1775</v>
      </c>
      <c r="C332" s="4" t="s">
        <v>1776</v>
      </c>
      <c r="D332" s="4" t="s">
        <v>47</v>
      </c>
      <c r="E332" s="4" t="s">
        <v>47</v>
      </c>
      <c r="F332" s="4" t="s">
        <v>47</v>
      </c>
      <c r="G332" s="4" t="s">
        <v>1776</v>
      </c>
      <c r="H332" s="4" t="s">
        <v>47</v>
      </c>
      <c r="I332">
        <f t="shared" si="10"/>
        <v>17875</v>
      </c>
      <c r="J332">
        <f t="shared" si="11"/>
        <v>-17875</v>
      </c>
    </row>
    <row r="333" spans="1:10" ht="15" customHeight="1" x14ac:dyDescent="0.2">
      <c r="A333" s="3" t="s">
        <v>1777</v>
      </c>
      <c r="B333" s="3" t="s">
        <v>1778</v>
      </c>
      <c r="C333" s="3" t="s">
        <v>1779</v>
      </c>
      <c r="D333" s="3" t="s">
        <v>1780</v>
      </c>
      <c r="E333" s="3" t="s">
        <v>47</v>
      </c>
      <c r="F333" s="3" t="s">
        <v>47</v>
      </c>
      <c r="G333" s="3" t="s">
        <v>1781</v>
      </c>
      <c r="H333" s="3" t="s">
        <v>47</v>
      </c>
      <c r="I333">
        <f t="shared" si="10"/>
        <v>252.61</v>
      </c>
      <c r="J333">
        <f t="shared" si="11"/>
        <v>-252.61</v>
      </c>
    </row>
    <row r="334" spans="1:10" ht="15" customHeight="1" x14ac:dyDescent="0.2">
      <c r="A334" s="4" t="s">
        <v>1782</v>
      </c>
      <c r="B334" s="4" t="s">
        <v>1783</v>
      </c>
      <c r="C334" s="4" t="s">
        <v>1784</v>
      </c>
      <c r="D334" s="4" t="s">
        <v>1785</v>
      </c>
      <c r="E334" s="4" t="s">
        <v>47</v>
      </c>
      <c r="F334" s="4" t="s">
        <v>47</v>
      </c>
      <c r="G334" s="4" t="s">
        <v>1786</v>
      </c>
      <c r="H334" s="4" t="s">
        <v>47</v>
      </c>
      <c r="I334">
        <f t="shared" si="10"/>
        <v>2432.19</v>
      </c>
      <c r="J334">
        <f t="shared" si="11"/>
        <v>-2432.19</v>
      </c>
    </row>
    <row r="335" spans="1:10" ht="15" customHeight="1" x14ac:dyDescent="0.2">
      <c r="A335" s="3" t="s">
        <v>1787</v>
      </c>
      <c r="B335" s="3" t="s">
        <v>1788</v>
      </c>
      <c r="C335" s="3" t="s">
        <v>1789</v>
      </c>
      <c r="D335" s="3" t="s">
        <v>47</v>
      </c>
      <c r="E335" s="3" t="s">
        <v>47</v>
      </c>
      <c r="F335" s="3" t="s">
        <v>1790</v>
      </c>
      <c r="G335" s="3" t="s">
        <v>1791</v>
      </c>
      <c r="H335" s="3" t="s">
        <v>47</v>
      </c>
      <c r="I335">
        <f t="shared" si="10"/>
        <v>1376.02</v>
      </c>
      <c r="J335">
        <f t="shared" si="11"/>
        <v>-1376.02</v>
      </c>
    </row>
    <row r="336" spans="1:10" ht="15" customHeight="1" x14ac:dyDescent="0.2">
      <c r="A336" s="4" t="s">
        <v>1792</v>
      </c>
      <c r="B336" s="4" t="s">
        <v>1793</v>
      </c>
      <c r="C336" s="4" t="s">
        <v>1794</v>
      </c>
      <c r="D336" s="4" t="s">
        <v>1795</v>
      </c>
      <c r="E336" s="4" t="s">
        <v>47</v>
      </c>
      <c r="F336" s="4" t="s">
        <v>47</v>
      </c>
      <c r="G336" s="4" t="s">
        <v>1796</v>
      </c>
      <c r="H336" s="4" t="s">
        <v>47</v>
      </c>
      <c r="I336">
        <f t="shared" si="10"/>
        <v>10727.78</v>
      </c>
      <c r="J336">
        <f t="shared" si="11"/>
        <v>-10727.78</v>
      </c>
    </row>
    <row r="337" spans="1:10" ht="15" customHeight="1" x14ac:dyDescent="0.2">
      <c r="A337" s="3" t="s">
        <v>1797</v>
      </c>
      <c r="B337" s="3" t="s">
        <v>1798</v>
      </c>
      <c r="C337" s="3" t="s">
        <v>1799</v>
      </c>
      <c r="D337" s="3" t="s">
        <v>1800</v>
      </c>
      <c r="E337" s="3" t="s">
        <v>1801</v>
      </c>
      <c r="F337" s="3" t="s">
        <v>1801</v>
      </c>
      <c r="G337" s="3" t="s">
        <v>1454</v>
      </c>
      <c r="H337" s="3" t="s">
        <v>47</v>
      </c>
      <c r="I337">
        <f t="shared" si="10"/>
        <v>4400</v>
      </c>
      <c r="J337">
        <f t="shared" si="11"/>
        <v>-4400</v>
      </c>
    </row>
    <row r="338" spans="1:10" ht="15" customHeight="1" x14ac:dyDescent="0.2">
      <c r="A338" s="4" t="s">
        <v>1802</v>
      </c>
      <c r="B338" s="4" t="s">
        <v>1803</v>
      </c>
      <c r="C338" s="4" t="s">
        <v>1804</v>
      </c>
      <c r="D338" s="4" t="s">
        <v>47</v>
      </c>
      <c r="E338" s="4" t="s">
        <v>47</v>
      </c>
      <c r="F338" s="4" t="s">
        <v>47</v>
      </c>
      <c r="G338" s="4" t="s">
        <v>1804</v>
      </c>
      <c r="H338" s="4" t="s">
        <v>47</v>
      </c>
      <c r="I338">
        <f t="shared" si="10"/>
        <v>12287.26</v>
      </c>
      <c r="J338">
        <f t="shared" si="11"/>
        <v>-12287.26</v>
      </c>
    </row>
    <row r="339" spans="1:10" ht="15" customHeight="1" x14ac:dyDescent="0.2">
      <c r="A339" s="3" t="s">
        <v>1805</v>
      </c>
      <c r="B339" s="3" t="s">
        <v>1806</v>
      </c>
      <c r="C339" s="3" t="s">
        <v>1807</v>
      </c>
      <c r="D339" s="3" t="s">
        <v>1808</v>
      </c>
      <c r="E339" s="3" t="s">
        <v>47</v>
      </c>
      <c r="F339" s="3" t="s">
        <v>1809</v>
      </c>
      <c r="G339" s="3" t="s">
        <v>1810</v>
      </c>
      <c r="H339" s="3" t="s">
        <v>47</v>
      </c>
      <c r="I339">
        <f t="shared" si="10"/>
        <v>1610.9</v>
      </c>
      <c r="J339">
        <f t="shared" si="11"/>
        <v>-1610.9</v>
      </c>
    </row>
    <row r="340" spans="1:10" ht="15" customHeight="1" x14ac:dyDescent="0.2">
      <c r="A340" s="4" t="s">
        <v>1811</v>
      </c>
      <c r="B340" s="4" t="s">
        <v>1812</v>
      </c>
      <c r="C340" s="4" t="s">
        <v>1813</v>
      </c>
      <c r="D340" s="4" t="s">
        <v>1814</v>
      </c>
      <c r="E340" s="4" t="s">
        <v>47</v>
      </c>
      <c r="F340" s="4" t="s">
        <v>1815</v>
      </c>
      <c r="G340" s="4" t="s">
        <v>1816</v>
      </c>
      <c r="H340" s="4" t="s">
        <v>47</v>
      </c>
      <c r="I340">
        <f t="shared" si="10"/>
        <v>8343.44</v>
      </c>
      <c r="J340">
        <f t="shared" si="11"/>
        <v>-8343.44</v>
      </c>
    </row>
    <row r="341" spans="1:10" ht="15" customHeight="1" x14ac:dyDescent="0.2">
      <c r="A341" s="3" t="s">
        <v>1817</v>
      </c>
      <c r="B341" s="3" t="s">
        <v>1818</v>
      </c>
      <c r="C341" s="3" t="s">
        <v>1819</v>
      </c>
      <c r="D341" s="3" t="s">
        <v>1819</v>
      </c>
      <c r="E341" s="3" t="s">
        <v>1820</v>
      </c>
      <c r="F341" s="3" t="s">
        <v>47</v>
      </c>
      <c r="G341" s="3" t="s">
        <v>1820</v>
      </c>
      <c r="H341" s="3" t="s">
        <v>47</v>
      </c>
      <c r="I341">
        <f t="shared" si="10"/>
        <v>7676.18</v>
      </c>
      <c r="J341">
        <f t="shared" si="11"/>
        <v>-7676.18</v>
      </c>
    </row>
    <row r="342" spans="1:10" ht="15" customHeight="1" x14ac:dyDescent="0.2">
      <c r="A342" s="4" t="s">
        <v>1821</v>
      </c>
      <c r="B342" s="4" t="s">
        <v>1822</v>
      </c>
      <c r="C342" s="4" t="s">
        <v>1823</v>
      </c>
      <c r="D342" s="4" t="s">
        <v>1824</v>
      </c>
      <c r="E342" s="4" t="s">
        <v>47</v>
      </c>
      <c r="F342" s="4" t="s">
        <v>1825</v>
      </c>
      <c r="G342" s="4" t="s">
        <v>47</v>
      </c>
      <c r="H342" s="4" t="s">
        <v>47</v>
      </c>
      <c r="I342">
        <f t="shared" si="10"/>
        <v>0</v>
      </c>
      <c r="J342">
        <f t="shared" si="11"/>
        <v>0</v>
      </c>
    </row>
    <row r="343" spans="1:10" ht="15" customHeight="1" x14ac:dyDescent="0.2">
      <c r="A343" s="3" t="s">
        <v>1826</v>
      </c>
      <c r="B343" s="3" t="s">
        <v>1827</v>
      </c>
      <c r="C343" s="3" t="s">
        <v>1828</v>
      </c>
      <c r="D343" s="3" t="s">
        <v>1829</v>
      </c>
      <c r="E343" s="3" t="s">
        <v>47</v>
      </c>
      <c r="F343" s="3" t="s">
        <v>1830</v>
      </c>
      <c r="G343" s="3" t="s">
        <v>47</v>
      </c>
      <c r="H343" s="3" t="s">
        <v>47</v>
      </c>
      <c r="I343">
        <f t="shared" si="10"/>
        <v>0</v>
      </c>
      <c r="J343">
        <f t="shared" si="11"/>
        <v>0</v>
      </c>
    </row>
    <row r="344" spans="1:10" ht="15" customHeight="1" x14ac:dyDescent="0.2">
      <c r="A344" s="4" t="s">
        <v>1831</v>
      </c>
      <c r="B344" s="4" t="s">
        <v>1832</v>
      </c>
      <c r="C344" s="4" t="s">
        <v>1833</v>
      </c>
      <c r="D344" s="4" t="s">
        <v>1834</v>
      </c>
      <c r="E344" s="4" t="s">
        <v>1835</v>
      </c>
      <c r="F344" s="4" t="s">
        <v>1836</v>
      </c>
      <c r="G344" s="4" t="s">
        <v>1837</v>
      </c>
      <c r="H344" s="4" t="s">
        <v>47</v>
      </c>
      <c r="I344">
        <f t="shared" si="10"/>
        <v>2872.5</v>
      </c>
      <c r="J344">
        <f t="shared" si="11"/>
        <v>-2872.5</v>
      </c>
    </row>
    <row r="345" spans="1:10" ht="15" customHeight="1" x14ac:dyDescent="0.2">
      <c r="A345" s="3" t="s">
        <v>1838</v>
      </c>
      <c r="B345" s="3" t="s">
        <v>1839</v>
      </c>
      <c r="C345" s="3" t="s">
        <v>1840</v>
      </c>
      <c r="D345" s="3" t="s">
        <v>1841</v>
      </c>
      <c r="E345" s="3" t="s">
        <v>47</v>
      </c>
      <c r="F345" s="3" t="s">
        <v>1842</v>
      </c>
      <c r="G345" s="3" t="s">
        <v>1843</v>
      </c>
      <c r="H345" s="3" t="s">
        <v>47</v>
      </c>
      <c r="I345">
        <f t="shared" si="10"/>
        <v>22500</v>
      </c>
      <c r="J345">
        <f t="shared" si="11"/>
        <v>-22500</v>
      </c>
    </row>
    <row r="346" spans="1:10" ht="15" customHeight="1" x14ac:dyDescent="0.2">
      <c r="A346" s="4" t="s">
        <v>1844</v>
      </c>
      <c r="B346" s="4" t="s">
        <v>1845</v>
      </c>
      <c r="C346" s="4" t="s">
        <v>1846</v>
      </c>
      <c r="D346" s="4" t="s">
        <v>1847</v>
      </c>
      <c r="E346" s="4" t="s">
        <v>47</v>
      </c>
      <c r="F346" s="4" t="s">
        <v>1848</v>
      </c>
      <c r="G346" s="4" t="s">
        <v>47</v>
      </c>
      <c r="H346" s="4" t="s">
        <v>47</v>
      </c>
      <c r="I346">
        <f t="shared" si="10"/>
        <v>0</v>
      </c>
      <c r="J346">
        <f t="shared" si="11"/>
        <v>0</v>
      </c>
    </row>
    <row r="347" spans="1:10" ht="15" customHeight="1" x14ac:dyDescent="0.2">
      <c r="A347" s="3" t="s">
        <v>1849</v>
      </c>
      <c r="B347" s="3" t="s">
        <v>1850</v>
      </c>
      <c r="C347" s="3" t="s">
        <v>1851</v>
      </c>
      <c r="D347" s="3" t="s">
        <v>1852</v>
      </c>
      <c r="E347" s="3" t="s">
        <v>47</v>
      </c>
      <c r="F347" s="3" t="s">
        <v>1853</v>
      </c>
      <c r="G347" s="3" t="s">
        <v>47</v>
      </c>
      <c r="H347" s="3" t="s">
        <v>47</v>
      </c>
      <c r="I347">
        <f t="shared" si="10"/>
        <v>0</v>
      </c>
      <c r="J347">
        <f t="shared" si="11"/>
        <v>0</v>
      </c>
    </row>
    <row r="348" spans="1:10" ht="15" customHeight="1" x14ac:dyDescent="0.2">
      <c r="A348" s="4" t="s">
        <v>1854</v>
      </c>
      <c r="B348" s="4" t="s">
        <v>1855</v>
      </c>
      <c r="C348" s="4" t="s">
        <v>1856</v>
      </c>
      <c r="D348" s="4" t="s">
        <v>1857</v>
      </c>
      <c r="E348" s="4" t="s">
        <v>47</v>
      </c>
      <c r="F348" s="4" t="s">
        <v>47</v>
      </c>
      <c r="G348" s="4" t="s">
        <v>1858</v>
      </c>
      <c r="H348" s="4" t="s">
        <v>47</v>
      </c>
      <c r="I348">
        <f t="shared" si="10"/>
        <v>3296.62</v>
      </c>
      <c r="J348">
        <f t="shared" si="11"/>
        <v>-3296.62</v>
      </c>
    </row>
    <row r="349" spans="1:10" ht="15" customHeight="1" x14ac:dyDescent="0.2">
      <c r="A349" s="3" t="s">
        <v>1859</v>
      </c>
      <c r="B349" s="3" t="s">
        <v>1860</v>
      </c>
      <c r="C349" s="3" t="s">
        <v>1861</v>
      </c>
      <c r="D349" s="3" t="s">
        <v>1862</v>
      </c>
      <c r="E349" s="3" t="s">
        <v>47</v>
      </c>
      <c r="F349" s="3" t="s">
        <v>47</v>
      </c>
      <c r="G349" s="3" t="s">
        <v>47</v>
      </c>
      <c r="H349" s="3" t="s">
        <v>394</v>
      </c>
      <c r="I349">
        <f t="shared" si="10"/>
        <v>-0.01</v>
      </c>
      <c r="J349">
        <f t="shared" si="11"/>
        <v>0.02</v>
      </c>
    </row>
    <row r="350" spans="1:10" ht="15" customHeight="1" x14ac:dyDescent="0.2">
      <c r="A350" s="4" t="s">
        <v>1863</v>
      </c>
      <c r="B350" s="4" t="s">
        <v>1864</v>
      </c>
      <c r="C350" s="4" t="s">
        <v>1865</v>
      </c>
      <c r="D350" s="4" t="s">
        <v>1866</v>
      </c>
      <c r="E350" s="4" t="s">
        <v>47</v>
      </c>
      <c r="F350" s="4" t="s">
        <v>1867</v>
      </c>
      <c r="G350" s="4" t="s">
        <v>1868</v>
      </c>
      <c r="H350" s="4" t="s">
        <v>47</v>
      </c>
      <c r="I350">
        <f t="shared" si="10"/>
        <v>156977.64000000001</v>
      </c>
      <c r="J350">
        <f t="shared" si="11"/>
        <v>-156977.64000000001</v>
      </c>
    </row>
    <row r="351" spans="1:10" ht="15" customHeight="1" x14ac:dyDescent="0.2">
      <c r="A351" s="3" t="s">
        <v>1869</v>
      </c>
      <c r="B351" s="3" t="s">
        <v>1870</v>
      </c>
      <c r="C351" s="3" t="s">
        <v>1871</v>
      </c>
      <c r="D351" s="3" t="s">
        <v>1871</v>
      </c>
      <c r="E351" s="3" t="s">
        <v>1872</v>
      </c>
      <c r="F351" s="3" t="s">
        <v>47</v>
      </c>
      <c r="G351" s="3" t="s">
        <v>1872</v>
      </c>
      <c r="H351" s="3" t="s">
        <v>47</v>
      </c>
      <c r="I351">
        <f t="shared" si="10"/>
        <v>16066.56</v>
      </c>
      <c r="J351">
        <f t="shared" si="11"/>
        <v>-16066.56</v>
      </c>
    </row>
    <row r="352" spans="1:10" ht="15" customHeight="1" x14ac:dyDescent="0.2">
      <c r="A352" s="4" t="s">
        <v>1873</v>
      </c>
      <c r="B352" s="4" t="s">
        <v>1874</v>
      </c>
      <c r="C352" s="4" t="s">
        <v>1875</v>
      </c>
      <c r="D352" s="4" t="s">
        <v>1876</v>
      </c>
      <c r="E352" s="4" t="s">
        <v>47</v>
      </c>
      <c r="F352" s="4" t="s">
        <v>47</v>
      </c>
      <c r="G352" s="4" t="s">
        <v>1877</v>
      </c>
      <c r="H352" s="4" t="s">
        <v>47</v>
      </c>
      <c r="I352">
        <f t="shared" si="10"/>
        <v>1373.36</v>
      </c>
      <c r="J352">
        <f t="shared" si="11"/>
        <v>-1373.36</v>
      </c>
    </row>
    <row r="353" spans="1:10" ht="15" customHeight="1" x14ac:dyDescent="0.2">
      <c r="A353" s="3" t="s">
        <v>1878</v>
      </c>
      <c r="B353" s="3" t="s">
        <v>1879</v>
      </c>
      <c r="C353" s="3" t="s">
        <v>1880</v>
      </c>
      <c r="D353" s="3" t="s">
        <v>47</v>
      </c>
      <c r="E353" s="3" t="s">
        <v>47</v>
      </c>
      <c r="F353" s="3" t="s">
        <v>47</v>
      </c>
      <c r="G353" s="3" t="s">
        <v>1880</v>
      </c>
      <c r="H353" s="3" t="s">
        <v>47</v>
      </c>
      <c r="I353">
        <f t="shared" si="10"/>
        <v>209.05</v>
      </c>
      <c r="J353">
        <f t="shared" si="11"/>
        <v>-209.05</v>
      </c>
    </row>
    <row r="354" spans="1:10" ht="15" customHeight="1" x14ac:dyDescent="0.2">
      <c r="A354" s="4" t="s">
        <v>1881</v>
      </c>
      <c r="B354" s="4" t="s">
        <v>1882</v>
      </c>
      <c r="C354" s="4" t="s">
        <v>1883</v>
      </c>
      <c r="D354" s="4" t="s">
        <v>1884</v>
      </c>
      <c r="E354" s="4" t="s">
        <v>47</v>
      </c>
      <c r="F354" s="4" t="s">
        <v>1885</v>
      </c>
      <c r="G354" s="4" t="s">
        <v>1886</v>
      </c>
      <c r="H354" s="4" t="s">
        <v>47</v>
      </c>
      <c r="I354">
        <f t="shared" si="10"/>
        <v>7669.81</v>
      </c>
      <c r="J354">
        <f t="shared" si="11"/>
        <v>-7669.81</v>
      </c>
    </row>
    <row r="355" spans="1:10" ht="15" customHeight="1" x14ac:dyDescent="0.2">
      <c r="A355" s="3" t="s">
        <v>1887</v>
      </c>
      <c r="B355" s="3" t="s">
        <v>1888</v>
      </c>
      <c r="C355" s="3" t="s">
        <v>1889</v>
      </c>
      <c r="D355" s="3" t="s">
        <v>1890</v>
      </c>
      <c r="E355" s="3" t="s">
        <v>47</v>
      </c>
      <c r="F355" s="3" t="s">
        <v>47</v>
      </c>
      <c r="G355" s="3" t="s">
        <v>1891</v>
      </c>
      <c r="H355" s="3" t="s">
        <v>47</v>
      </c>
      <c r="I355">
        <f t="shared" si="10"/>
        <v>4336.5</v>
      </c>
      <c r="J355">
        <f t="shared" si="11"/>
        <v>-4336.5</v>
      </c>
    </row>
    <row r="356" spans="1:10" ht="15" customHeight="1" x14ac:dyDescent="0.2">
      <c r="A356" s="4" t="s">
        <v>1892</v>
      </c>
      <c r="B356" s="4" t="s">
        <v>1893</v>
      </c>
      <c r="C356" s="4" t="s">
        <v>1894</v>
      </c>
      <c r="D356" s="4" t="s">
        <v>1894</v>
      </c>
      <c r="E356" s="4" t="s">
        <v>1895</v>
      </c>
      <c r="F356" s="4" t="s">
        <v>47</v>
      </c>
      <c r="G356" s="4" t="s">
        <v>1895</v>
      </c>
      <c r="H356" s="4" t="s">
        <v>47</v>
      </c>
      <c r="I356">
        <f t="shared" si="10"/>
        <v>4895.4399999999996</v>
      </c>
      <c r="J356">
        <f t="shared" si="11"/>
        <v>-4895.4399999999996</v>
      </c>
    </row>
    <row r="357" spans="1:10" ht="15" customHeight="1" x14ac:dyDescent="0.2">
      <c r="A357" s="3" t="s">
        <v>1896</v>
      </c>
      <c r="B357" s="3" t="s">
        <v>1897</v>
      </c>
      <c r="C357" s="3" t="s">
        <v>1898</v>
      </c>
      <c r="D357" s="3" t="s">
        <v>1898</v>
      </c>
      <c r="E357" s="3" t="s">
        <v>595</v>
      </c>
      <c r="F357" s="3" t="s">
        <v>595</v>
      </c>
      <c r="G357" s="3" t="s">
        <v>47</v>
      </c>
      <c r="H357" s="3" t="s">
        <v>47</v>
      </c>
      <c r="I357">
        <f t="shared" si="10"/>
        <v>0</v>
      </c>
      <c r="J357">
        <f t="shared" si="11"/>
        <v>0</v>
      </c>
    </row>
    <row r="358" spans="1:10" ht="15" customHeight="1" x14ac:dyDescent="0.2">
      <c r="A358" s="4" t="s">
        <v>1899</v>
      </c>
      <c r="B358" s="4" t="s">
        <v>1900</v>
      </c>
      <c r="C358" s="4" t="s">
        <v>1901</v>
      </c>
      <c r="D358" s="4" t="s">
        <v>1902</v>
      </c>
      <c r="E358" s="4" t="s">
        <v>47</v>
      </c>
      <c r="F358" s="4" t="s">
        <v>1903</v>
      </c>
      <c r="G358" s="4" t="s">
        <v>47</v>
      </c>
      <c r="H358" s="4" t="s">
        <v>47</v>
      </c>
      <c r="I358">
        <f t="shared" si="10"/>
        <v>0</v>
      </c>
      <c r="J358">
        <f t="shared" si="11"/>
        <v>0</v>
      </c>
    </row>
    <row r="359" spans="1:10" ht="15" customHeight="1" x14ac:dyDescent="0.2">
      <c r="A359" s="3" t="s">
        <v>1904</v>
      </c>
      <c r="B359" s="3" t="s">
        <v>1905</v>
      </c>
      <c r="C359" s="3" t="s">
        <v>1906</v>
      </c>
      <c r="D359" s="3" t="s">
        <v>1907</v>
      </c>
      <c r="E359" s="3" t="s">
        <v>47</v>
      </c>
      <c r="F359" s="3" t="s">
        <v>47</v>
      </c>
      <c r="G359" s="3" t="s">
        <v>47</v>
      </c>
      <c r="H359" s="3" t="s">
        <v>1908</v>
      </c>
      <c r="I359">
        <f t="shared" si="10"/>
        <v>-0.1</v>
      </c>
      <c r="J359">
        <f t="shared" si="11"/>
        <v>0.2</v>
      </c>
    </row>
    <row r="360" spans="1:10" ht="15" customHeight="1" x14ac:dyDescent="0.2">
      <c r="A360" s="4" t="s">
        <v>1909</v>
      </c>
      <c r="B360" s="4" t="s">
        <v>1910</v>
      </c>
      <c r="C360" s="4" t="s">
        <v>1911</v>
      </c>
      <c r="D360" s="4" t="s">
        <v>1912</v>
      </c>
      <c r="E360" s="4" t="s">
        <v>47</v>
      </c>
      <c r="F360" s="4" t="s">
        <v>47</v>
      </c>
      <c r="G360" s="4" t="s">
        <v>1913</v>
      </c>
      <c r="H360" s="4" t="s">
        <v>47</v>
      </c>
      <c r="I360">
        <f t="shared" si="10"/>
        <v>204.08</v>
      </c>
      <c r="J360">
        <f t="shared" si="11"/>
        <v>-204.08</v>
      </c>
    </row>
    <row r="361" spans="1:10" ht="15" customHeight="1" x14ac:dyDescent="0.2">
      <c r="A361" s="3" t="s">
        <v>1914</v>
      </c>
      <c r="B361" s="3" t="s">
        <v>1915</v>
      </c>
      <c r="C361" s="3" t="s">
        <v>1916</v>
      </c>
      <c r="D361" s="3" t="s">
        <v>1917</v>
      </c>
      <c r="E361" s="3" t="s">
        <v>47</v>
      </c>
      <c r="F361" s="3" t="s">
        <v>1918</v>
      </c>
      <c r="G361" s="3" t="s">
        <v>1918</v>
      </c>
      <c r="H361" s="3" t="s">
        <v>47</v>
      </c>
      <c r="I361">
        <f t="shared" si="10"/>
        <v>3815.35</v>
      </c>
      <c r="J361">
        <f t="shared" si="11"/>
        <v>-3815.35</v>
      </c>
    </row>
    <row r="362" spans="1:10" ht="15" customHeight="1" x14ac:dyDescent="0.2">
      <c r="A362" s="4" t="s">
        <v>1919</v>
      </c>
      <c r="B362" s="4" t="s">
        <v>1920</v>
      </c>
      <c r="C362" s="4" t="s">
        <v>1921</v>
      </c>
      <c r="D362" s="4" t="s">
        <v>1922</v>
      </c>
      <c r="E362" s="4" t="s">
        <v>47</v>
      </c>
      <c r="F362" s="4" t="s">
        <v>1923</v>
      </c>
      <c r="G362" s="4" t="s">
        <v>47</v>
      </c>
      <c r="H362" s="4" t="s">
        <v>47</v>
      </c>
      <c r="I362">
        <f t="shared" si="10"/>
        <v>0</v>
      </c>
      <c r="J362">
        <f t="shared" si="11"/>
        <v>0</v>
      </c>
    </row>
    <row r="363" spans="1:10" ht="15" customHeight="1" x14ac:dyDescent="0.2">
      <c r="A363" s="3" t="s">
        <v>1924</v>
      </c>
      <c r="B363" s="3" t="s">
        <v>1925</v>
      </c>
      <c r="C363" s="3" t="s">
        <v>1926</v>
      </c>
      <c r="D363" s="3" t="s">
        <v>1927</v>
      </c>
      <c r="E363" s="3" t="s">
        <v>1928</v>
      </c>
      <c r="F363" s="3" t="s">
        <v>1929</v>
      </c>
      <c r="G363" s="3" t="s">
        <v>1930</v>
      </c>
      <c r="H363" s="3" t="s">
        <v>47</v>
      </c>
      <c r="I363">
        <f t="shared" si="10"/>
        <v>2170.9699999999998</v>
      </c>
      <c r="J363">
        <f t="shared" si="11"/>
        <v>-2170.9699999999998</v>
      </c>
    </row>
    <row r="364" spans="1:10" ht="15" customHeight="1" x14ac:dyDescent="0.2">
      <c r="A364" s="4" t="s">
        <v>1931</v>
      </c>
      <c r="B364" s="4" t="s">
        <v>1932</v>
      </c>
      <c r="C364" s="4" t="s">
        <v>1933</v>
      </c>
      <c r="D364" s="4" t="s">
        <v>1934</v>
      </c>
      <c r="E364" s="4" t="s">
        <v>47</v>
      </c>
      <c r="F364" s="4" t="s">
        <v>47</v>
      </c>
      <c r="G364" s="4" t="s">
        <v>1935</v>
      </c>
      <c r="H364" s="4" t="s">
        <v>47</v>
      </c>
      <c r="I364">
        <f t="shared" si="10"/>
        <v>13738.4</v>
      </c>
      <c r="J364">
        <f t="shared" si="11"/>
        <v>-13738.4</v>
      </c>
    </row>
    <row r="365" spans="1:10" ht="15" customHeight="1" x14ac:dyDescent="0.2">
      <c r="A365" s="3" t="s">
        <v>1936</v>
      </c>
      <c r="B365" s="3" t="s">
        <v>1937</v>
      </c>
      <c r="C365" s="3" t="s">
        <v>1938</v>
      </c>
      <c r="D365" s="3" t="s">
        <v>1939</v>
      </c>
      <c r="E365" s="3" t="s">
        <v>47</v>
      </c>
      <c r="F365" s="3" t="s">
        <v>47</v>
      </c>
      <c r="G365" s="3" t="s">
        <v>1940</v>
      </c>
      <c r="H365" s="3" t="s">
        <v>47</v>
      </c>
      <c r="I365">
        <f t="shared" si="10"/>
        <v>5000</v>
      </c>
      <c r="J365">
        <f t="shared" si="11"/>
        <v>-5000</v>
      </c>
    </row>
    <row r="366" spans="1:10" ht="15" customHeight="1" x14ac:dyDescent="0.2">
      <c r="A366" s="4" t="s">
        <v>1941</v>
      </c>
      <c r="B366" s="4" t="s">
        <v>1942</v>
      </c>
      <c r="C366" s="4" t="s">
        <v>1943</v>
      </c>
      <c r="D366" s="4" t="s">
        <v>1944</v>
      </c>
      <c r="E366" s="4" t="s">
        <v>47</v>
      </c>
      <c r="F366" s="4" t="s">
        <v>47</v>
      </c>
      <c r="G366" s="4" t="s">
        <v>1944</v>
      </c>
      <c r="H366" s="4" t="s">
        <v>47</v>
      </c>
      <c r="I366">
        <f t="shared" si="10"/>
        <v>341.77</v>
      </c>
      <c r="J366">
        <f t="shared" si="11"/>
        <v>-341.77</v>
      </c>
    </row>
    <row r="367" spans="1:10" ht="15" customHeight="1" x14ac:dyDescent="0.2">
      <c r="A367" s="3" t="s">
        <v>1945</v>
      </c>
      <c r="B367" s="3" t="s">
        <v>1946</v>
      </c>
      <c r="C367" s="3" t="s">
        <v>1947</v>
      </c>
      <c r="D367" s="3" t="s">
        <v>1948</v>
      </c>
      <c r="E367" s="3" t="s">
        <v>47</v>
      </c>
      <c r="F367" s="3" t="s">
        <v>47</v>
      </c>
      <c r="G367" s="3" t="s">
        <v>1949</v>
      </c>
      <c r="H367" s="3" t="s">
        <v>47</v>
      </c>
      <c r="I367">
        <f t="shared" si="10"/>
        <v>17509.5</v>
      </c>
      <c r="J367">
        <f t="shared" si="11"/>
        <v>-17509.5</v>
      </c>
    </row>
    <row r="368" spans="1:10" ht="15" customHeight="1" x14ac:dyDescent="0.2">
      <c r="A368" s="4" t="s">
        <v>1950</v>
      </c>
      <c r="B368" s="4" t="s">
        <v>1951</v>
      </c>
      <c r="C368" s="4" t="s">
        <v>1952</v>
      </c>
      <c r="D368" s="4" t="s">
        <v>47</v>
      </c>
      <c r="E368" s="4" t="s">
        <v>47</v>
      </c>
      <c r="F368" s="4" t="s">
        <v>1953</v>
      </c>
      <c r="G368" s="4" t="s">
        <v>1954</v>
      </c>
      <c r="H368" s="4" t="s">
        <v>47</v>
      </c>
      <c r="I368">
        <f t="shared" si="10"/>
        <v>1879.86</v>
      </c>
      <c r="J368">
        <f t="shared" si="11"/>
        <v>-1879.86</v>
      </c>
    </row>
    <row r="369" spans="1:10" ht="15" customHeight="1" x14ac:dyDescent="0.2">
      <c r="A369" s="3" t="s">
        <v>1955</v>
      </c>
      <c r="B369" s="3" t="s">
        <v>1956</v>
      </c>
      <c r="C369" s="3" t="s">
        <v>1957</v>
      </c>
      <c r="D369" s="3" t="s">
        <v>1958</v>
      </c>
      <c r="E369" s="3" t="s">
        <v>47</v>
      </c>
      <c r="F369" s="3" t="s">
        <v>47</v>
      </c>
      <c r="G369" s="3" t="s">
        <v>47</v>
      </c>
      <c r="H369" s="3" t="s">
        <v>394</v>
      </c>
      <c r="I369">
        <f t="shared" si="10"/>
        <v>-0.01</v>
      </c>
      <c r="J369">
        <f t="shared" si="11"/>
        <v>0.02</v>
      </c>
    </row>
    <row r="370" spans="1:10" ht="15" customHeight="1" x14ac:dyDescent="0.2">
      <c r="A370" s="4" t="s">
        <v>1959</v>
      </c>
      <c r="B370" s="4" t="s">
        <v>1960</v>
      </c>
      <c r="C370" s="4" t="s">
        <v>1961</v>
      </c>
      <c r="D370" s="4" t="s">
        <v>1962</v>
      </c>
      <c r="E370" s="4" t="s">
        <v>47</v>
      </c>
      <c r="F370" s="4" t="s">
        <v>1963</v>
      </c>
      <c r="G370" s="4" t="s">
        <v>1964</v>
      </c>
      <c r="H370" s="4" t="s">
        <v>47</v>
      </c>
      <c r="I370">
        <f t="shared" si="10"/>
        <v>703.6</v>
      </c>
      <c r="J370">
        <f t="shared" si="11"/>
        <v>-703.6</v>
      </c>
    </row>
    <row r="371" spans="1:10" ht="15" customHeight="1" x14ac:dyDescent="0.2">
      <c r="A371" s="3" t="s">
        <v>1965</v>
      </c>
      <c r="B371" s="3" t="s">
        <v>1966</v>
      </c>
      <c r="C371" s="3" t="s">
        <v>1967</v>
      </c>
      <c r="D371" s="3" t="s">
        <v>1968</v>
      </c>
      <c r="E371" s="3" t="s">
        <v>1969</v>
      </c>
      <c r="F371" s="3" t="s">
        <v>1970</v>
      </c>
      <c r="G371" s="3" t="s">
        <v>1971</v>
      </c>
      <c r="H371" s="3" t="s">
        <v>47</v>
      </c>
      <c r="I371">
        <f t="shared" si="10"/>
        <v>5392.05</v>
      </c>
      <c r="J371">
        <f t="shared" si="11"/>
        <v>-5392.05</v>
      </c>
    </row>
    <row r="372" spans="1:10" ht="15" customHeight="1" x14ac:dyDescent="0.2">
      <c r="A372" s="4" t="s">
        <v>1972</v>
      </c>
      <c r="B372" s="4" t="s">
        <v>1973</v>
      </c>
      <c r="C372" s="4" t="s">
        <v>1974</v>
      </c>
      <c r="D372" s="4" t="s">
        <v>1975</v>
      </c>
      <c r="E372" s="4" t="s">
        <v>47</v>
      </c>
      <c r="F372" s="4" t="s">
        <v>47</v>
      </c>
      <c r="G372" s="4" t="s">
        <v>1976</v>
      </c>
      <c r="H372" s="4" t="s">
        <v>47</v>
      </c>
      <c r="I372">
        <f t="shared" si="10"/>
        <v>509.69</v>
      </c>
      <c r="J372">
        <f t="shared" si="11"/>
        <v>-509.69</v>
      </c>
    </row>
    <row r="373" spans="1:10" ht="15" customHeight="1" x14ac:dyDescent="0.2">
      <c r="A373" s="3" t="s">
        <v>1977</v>
      </c>
      <c r="B373" s="3" t="s">
        <v>1978</v>
      </c>
      <c r="C373" s="3" t="s">
        <v>1979</v>
      </c>
      <c r="D373" s="3" t="s">
        <v>1980</v>
      </c>
      <c r="E373" s="3" t="s">
        <v>47</v>
      </c>
      <c r="F373" s="3" t="s">
        <v>47</v>
      </c>
      <c r="G373" s="3" t="s">
        <v>1981</v>
      </c>
      <c r="H373" s="3" t="s">
        <v>47</v>
      </c>
      <c r="I373">
        <f t="shared" si="10"/>
        <v>4481.12</v>
      </c>
      <c r="J373">
        <f t="shared" si="11"/>
        <v>-4481.12</v>
      </c>
    </row>
    <row r="374" spans="1:10" ht="15" customHeight="1" x14ac:dyDescent="0.2">
      <c r="A374" s="4" t="s">
        <v>1982</v>
      </c>
      <c r="B374" s="4" t="s">
        <v>1983</v>
      </c>
      <c r="C374" s="4" t="s">
        <v>1984</v>
      </c>
      <c r="D374" s="4" t="s">
        <v>47</v>
      </c>
      <c r="E374" s="4" t="s">
        <v>47</v>
      </c>
      <c r="F374" s="4" t="s">
        <v>47</v>
      </c>
      <c r="G374" s="4" t="s">
        <v>1984</v>
      </c>
      <c r="H374" s="4" t="s">
        <v>47</v>
      </c>
      <c r="I374">
        <f t="shared" si="10"/>
        <v>4529.21</v>
      </c>
      <c r="J374">
        <f t="shared" si="11"/>
        <v>-4529.21</v>
      </c>
    </row>
    <row r="375" spans="1:10" ht="15" customHeight="1" x14ac:dyDescent="0.2">
      <c r="A375" s="3" t="s">
        <v>1985</v>
      </c>
      <c r="B375" s="3" t="s">
        <v>1986</v>
      </c>
      <c r="C375" s="3" t="s">
        <v>1987</v>
      </c>
      <c r="D375" s="3" t="s">
        <v>1988</v>
      </c>
      <c r="E375" s="3" t="s">
        <v>47</v>
      </c>
      <c r="F375" s="3" t="s">
        <v>1989</v>
      </c>
      <c r="G375" s="3" t="s">
        <v>1990</v>
      </c>
      <c r="H375" s="3" t="s">
        <v>47</v>
      </c>
      <c r="I375">
        <f t="shared" si="10"/>
        <v>2838.18</v>
      </c>
      <c r="J375">
        <f t="shared" si="11"/>
        <v>-2838.18</v>
      </c>
    </row>
    <row r="376" spans="1:10" ht="15" customHeight="1" x14ac:dyDescent="0.2">
      <c r="A376" s="4" t="s">
        <v>1991</v>
      </c>
      <c r="B376" s="4" t="s">
        <v>1992</v>
      </c>
      <c r="C376" s="4" t="s">
        <v>1993</v>
      </c>
      <c r="D376" s="4" t="s">
        <v>1994</v>
      </c>
      <c r="E376" s="4" t="s">
        <v>1995</v>
      </c>
      <c r="F376" s="4" t="s">
        <v>1996</v>
      </c>
      <c r="G376" s="4" t="s">
        <v>1997</v>
      </c>
      <c r="H376" s="4" t="s">
        <v>47</v>
      </c>
      <c r="I376">
        <f t="shared" si="10"/>
        <v>4100</v>
      </c>
      <c r="J376">
        <f t="shared" si="11"/>
        <v>-4100</v>
      </c>
    </row>
    <row r="377" spans="1:10" ht="15" customHeight="1" x14ac:dyDescent="0.2">
      <c r="A377" s="3" t="s">
        <v>1998</v>
      </c>
      <c r="B377" s="3" t="s">
        <v>1999</v>
      </c>
      <c r="C377" s="3" t="s">
        <v>2000</v>
      </c>
      <c r="D377" s="3" t="s">
        <v>2001</v>
      </c>
      <c r="E377" s="3" t="s">
        <v>47</v>
      </c>
      <c r="F377" s="3" t="s">
        <v>2002</v>
      </c>
      <c r="G377" s="3" t="s">
        <v>47</v>
      </c>
      <c r="H377" s="3" t="s">
        <v>47</v>
      </c>
      <c r="I377">
        <f t="shared" si="10"/>
        <v>0</v>
      </c>
      <c r="J377">
        <f t="shared" si="11"/>
        <v>0</v>
      </c>
    </row>
    <row r="378" spans="1:10" ht="15" customHeight="1" x14ac:dyDescent="0.2">
      <c r="A378" s="4" t="s">
        <v>2003</v>
      </c>
      <c r="B378" s="4" t="s">
        <v>2004</v>
      </c>
      <c r="C378" s="4" t="s">
        <v>2005</v>
      </c>
      <c r="D378" s="4" t="s">
        <v>2006</v>
      </c>
      <c r="E378" s="4" t="s">
        <v>47</v>
      </c>
      <c r="F378" s="4" t="s">
        <v>2007</v>
      </c>
      <c r="G378" s="4" t="s">
        <v>47</v>
      </c>
      <c r="H378" s="4" t="s">
        <v>47</v>
      </c>
      <c r="I378">
        <f t="shared" si="10"/>
        <v>0</v>
      </c>
      <c r="J378">
        <f t="shared" si="11"/>
        <v>0</v>
      </c>
    </row>
    <row r="379" spans="1:10" ht="15" customHeight="1" x14ac:dyDescent="0.2">
      <c r="A379" s="3" t="s">
        <v>2008</v>
      </c>
      <c r="B379" s="3" t="s">
        <v>2009</v>
      </c>
      <c r="C379" s="3" t="s">
        <v>2010</v>
      </c>
      <c r="D379" s="3" t="s">
        <v>2011</v>
      </c>
      <c r="E379" s="3" t="s">
        <v>47</v>
      </c>
      <c r="F379" s="3" t="s">
        <v>47</v>
      </c>
      <c r="G379" s="3" t="s">
        <v>47</v>
      </c>
      <c r="H379" s="3" t="s">
        <v>332</v>
      </c>
      <c r="I379">
        <f t="shared" si="10"/>
        <v>-0.02</v>
      </c>
      <c r="J379">
        <f t="shared" si="11"/>
        <v>0.04</v>
      </c>
    </row>
    <row r="380" spans="1:10" ht="15" customHeight="1" x14ac:dyDescent="0.2">
      <c r="A380" s="4" t="s">
        <v>2012</v>
      </c>
      <c r="B380" s="4" t="s">
        <v>2013</v>
      </c>
      <c r="C380" s="4" t="s">
        <v>2014</v>
      </c>
      <c r="D380" s="4" t="s">
        <v>2015</v>
      </c>
      <c r="E380" s="4" t="s">
        <v>47</v>
      </c>
      <c r="F380" s="4" t="s">
        <v>47</v>
      </c>
      <c r="G380" s="4" t="s">
        <v>2016</v>
      </c>
      <c r="H380" s="4" t="s">
        <v>47</v>
      </c>
      <c r="I380">
        <f t="shared" si="10"/>
        <v>6200</v>
      </c>
      <c r="J380">
        <f t="shared" si="11"/>
        <v>-6200</v>
      </c>
    </row>
    <row r="381" spans="1:10" ht="15" customHeight="1" x14ac:dyDescent="0.2">
      <c r="A381" s="3" t="s">
        <v>2017</v>
      </c>
      <c r="B381" s="3" t="s">
        <v>2018</v>
      </c>
      <c r="C381" s="3" t="s">
        <v>2019</v>
      </c>
      <c r="D381" s="3" t="s">
        <v>2020</v>
      </c>
      <c r="E381" s="3" t="s">
        <v>47</v>
      </c>
      <c r="F381" s="3" t="s">
        <v>47</v>
      </c>
      <c r="G381" s="3" t="s">
        <v>2021</v>
      </c>
      <c r="H381" s="3" t="s">
        <v>47</v>
      </c>
      <c r="I381">
        <f t="shared" si="10"/>
        <v>2452.4</v>
      </c>
      <c r="J381">
        <f t="shared" si="11"/>
        <v>-2452.4</v>
      </c>
    </row>
    <row r="382" spans="1:10" ht="15" customHeight="1" x14ac:dyDescent="0.2">
      <c r="A382" s="4" t="s">
        <v>2022</v>
      </c>
      <c r="B382" s="4" t="s">
        <v>2023</v>
      </c>
      <c r="C382" s="4" t="s">
        <v>2024</v>
      </c>
      <c r="D382" s="4" t="s">
        <v>2025</v>
      </c>
      <c r="E382" s="4" t="s">
        <v>47</v>
      </c>
      <c r="F382" s="4" t="s">
        <v>47</v>
      </c>
      <c r="G382" s="4" t="s">
        <v>394</v>
      </c>
      <c r="H382" s="4" t="s">
        <v>47</v>
      </c>
      <c r="I382">
        <f t="shared" si="10"/>
        <v>0.01</v>
      </c>
      <c r="J382">
        <f t="shared" si="11"/>
        <v>-0.01</v>
      </c>
    </row>
    <row r="383" spans="1:10" ht="15" customHeight="1" x14ac:dyDescent="0.2">
      <c r="A383" s="3" t="s">
        <v>2026</v>
      </c>
      <c r="B383" s="3" t="s">
        <v>2027</v>
      </c>
      <c r="C383" s="3" t="s">
        <v>2028</v>
      </c>
      <c r="D383" s="3" t="s">
        <v>2029</v>
      </c>
      <c r="E383" s="3" t="s">
        <v>2030</v>
      </c>
      <c r="F383" s="3" t="s">
        <v>2031</v>
      </c>
      <c r="G383" s="3" t="s">
        <v>2032</v>
      </c>
      <c r="H383" s="3" t="s">
        <v>47</v>
      </c>
      <c r="I383">
        <f t="shared" si="10"/>
        <v>21356.36</v>
      </c>
      <c r="J383">
        <f t="shared" si="11"/>
        <v>-21356.36</v>
      </c>
    </row>
    <row r="384" spans="1:10" ht="15" customHeight="1" x14ac:dyDescent="0.2">
      <c r="A384" s="4" t="s">
        <v>2033</v>
      </c>
      <c r="B384" s="4" t="s">
        <v>2034</v>
      </c>
      <c r="C384" s="4" t="s">
        <v>47</v>
      </c>
      <c r="D384" s="4" t="s">
        <v>47</v>
      </c>
      <c r="E384" s="4" t="s">
        <v>2035</v>
      </c>
      <c r="F384" s="4" t="s">
        <v>47</v>
      </c>
      <c r="G384" s="4" t="s">
        <v>2035</v>
      </c>
      <c r="H384" s="4" t="s">
        <v>47</v>
      </c>
      <c r="I384">
        <f t="shared" si="10"/>
        <v>7596.36</v>
      </c>
      <c r="J384">
        <f t="shared" si="11"/>
        <v>-7596.36</v>
      </c>
    </row>
    <row r="385" spans="1:10" ht="15" customHeight="1" x14ac:dyDescent="0.2">
      <c r="A385" s="3" t="s">
        <v>2036</v>
      </c>
      <c r="B385" s="3" t="s">
        <v>2037</v>
      </c>
      <c r="C385" s="3" t="s">
        <v>2038</v>
      </c>
      <c r="D385" s="3" t="s">
        <v>47</v>
      </c>
      <c r="E385" s="3" t="s">
        <v>2039</v>
      </c>
      <c r="F385" s="3" t="s">
        <v>2038</v>
      </c>
      <c r="G385" s="3" t="s">
        <v>2039</v>
      </c>
      <c r="H385" s="3" t="s">
        <v>47</v>
      </c>
      <c r="I385">
        <f t="shared" si="10"/>
        <v>1128.23</v>
      </c>
      <c r="J385">
        <f t="shared" si="11"/>
        <v>-1128.23</v>
      </c>
    </row>
    <row r="386" spans="1:10" ht="15" customHeight="1" x14ac:dyDescent="0.2">
      <c r="A386" s="4" t="s">
        <v>2040</v>
      </c>
      <c r="B386" s="4" t="s">
        <v>2041</v>
      </c>
      <c r="C386" s="4" t="s">
        <v>2042</v>
      </c>
      <c r="D386" s="4" t="s">
        <v>2043</v>
      </c>
      <c r="E386" s="4" t="s">
        <v>47</v>
      </c>
      <c r="F386" s="4" t="s">
        <v>2044</v>
      </c>
      <c r="G386" s="4" t="s">
        <v>2044</v>
      </c>
      <c r="H386" s="4" t="s">
        <v>47</v>
      </c>
      <c r="I386">
        <f t="shared" si="10"/>
        <v>2090.81</v>
      </c>
      <c r="J386">
        <f t="shared" si="11"/>
        <v>-2090.81</v>
      </c>
    </row>
    <row r="387" spans="1:10" ht="15" customHeight="1" x14ac:dyDescent="0.2">
      <c r="A387" s="3" t="s">
        <v>2045</v>
      </c>
      <c r="B387" s="3" t="s">
        <v>2046</v>
      </c>
      <c r="C387" s="3" t="s">
        <v>47</v>
      </c>
      <c r="D387" s="3" t="s">
        <v>47</v>
      </c>
      <c r="E387" s="3" t="s">
        <v>2047</v>
      </c>
      <c r="F387" s="3" t="s">
        <v>2048</v>
      </c>
      <c r="G387" s="3" t="s">
        <v>2049</v>
      </c>
      <c r="H387" s="3" t="s">
        <v>47</v>
      </c>
      <c r="I387">
        <f t="shared" si="10"/>
        <v>1139.28</v>
      </c>
      <c r="J387">
        <f t="shared" si="11"/>
        <v>-1139.28</v>
      </c>
    </row>
    <row r="388" spans="1:10" ht="15" customHeight="1" x14ac:dyDescent="0.2">
      <c r="A388" s="4" t="s">
        <v>2050</v>
      </c>
      <c r="B388" s="4" t="s">
        <v>2051</v>
      </c>
      <c r="C388" s="4" t="s">
        <v>2052</v>
      </c>
      <c r="D388" s="4" t="s">
        <v>2053</v>
      </c>
      <c r="E388" s="4" t="s">
        <v>47</v>
      </c>
      <c r="F388" s="4" t="s">
        <v>2053</v>
      </c>
      <c r="G388" s="4" t="s">
        <v>2053</v>
      </c>
      <c r="H388" s="4" t="s">
        <v>47</v>
      </c>
      <c r="I388">
        <f t="shared" ref="I388:I451" si="12">IF(MID(A388,1,1)="1",G388-H388,IF(MID(A388,1,1)="2",H388-G388,"VERIFICAR"))</f>
        <v>3545.99</v>
      </c>
      <c r="J388">
        <f t="shared" ref="J388:J451" si="13">IF(MID(A388,1,1)="1",H388-I388,IF(MID(B388,1,1)="2",I388-H388,IF(MID(A388,1,1)="3",F388-E388,IF(MID(A388,1,1)="4",E388-F388,"VERIFICAR"))))</f>
        <v>-3545.99</v>
      </c>
    </row>
    <row r="389" spans="1:10" ht="15" customHeight="1" x14ac:dyDescent="0.2">
      <c r="A389" s="3" t="s">
        <v>2054</v>
      </c>
      <c r="B389" s="3" t="s">
        <v>2055</v>
      </c>
      <c r="C389" s="3" t="s">
        <v>2056</v>
      </c>
      <c r="D389" s="3" t="s">
        <v>47</v>
      </c>
      <c r="E389" s="3" t="s">
        <v>47</v>
      </c>
      <c r="F389" s="3" t="s">
        <v>47</v>
      </c>
      <c r="G389" s="3" t="s">
        <v>2056</v>
      </c>
      <c r="H389" s="3" t="s">
        <v>47</v>
      </c>
      <c r="I389">
        <f t="shared" si="12"/>
        <v>376.04</v>
      </c>
      <c r="J389">
        <f t="shared" si="13"/>
        <v>-376.04</v>
      </c>
    </row>
    <row r="390" spans="1:10" ht="15" customHeight="1" x14ac:dyDescent="0.2">
      <c r="A390" s="4" t="s">
        <v>2057</v>
      </c>
      <c r="B390" s="4" t="s">
        <v>2058</v>
      </c>
      <c r="C390" s="4" t="s">
        <v>2059</v>
      </c>
      <c r="D390" s="4" t="s">
        <v>2060</v>
      </c>
      <c r="E390" s="4" t="s">
        <v>47</v>
      </c>
      <c r="F390" s="4" t="s">
        <v>2061</v>
      </c>
      <c r="G390" s="4" t="s">
        <v>47</v>
      </c>
      <c r="H390" s="4" t="s">
        <v>47</v>
      </c>
      <c r="I390">
        <f t="shared" si="12"/>
        <v>0</v>
      </c>
      <c r="J390">
        <f t="shared" si="13"/>
        <v>0</v>
      </c>
    </row>
    <row r="391" spans="1:10" ht="15" customHeight="1" x14ac:dyDescent="0.2">
      <c r="A391" s="3" t="s">
        <v>2062</v>
      </c>
      <c r="B391" s="3" t="s">
        <v>2063</v>
      </c>
      <c r="C391" s="3" t="s">
        <v>2064</v>
      </c>
      <c r="D391" s="3" t="s">
        <v>2065</v>
      </c>
      <c r="E391" s="3" t="s">
        <v>47</v>
      </c>
      <c r="F391" s="3" t="s">
        <v>2066</v>
      </c>
      <c r="G391" s="3" t="s">
        <v>2067</v>
      </c>
      <c r="H391" s="3" t="s">
        <v>47</v>
      </c>
      <c r="I391">
        <f t="shared" si="12"/>
        <v>20571.43</v>
      </c>
      <c r="J391">
        <f t="shared" si="13"/>
        <v>-20571.43</v>
      </c>
    </row>
    <row r="392" spans="1:10" ht="15" customHeight="1" x14ac:dyDescent="0.2">
      <c r="A392" s="4" t="s">
        <v>2068</v>
      </c>
      <c r="B392" s="4" t="s">
        <v>2069</v>
      </c>
      <c r="C392" s="4" t="s">
        <v>2070</v>
      </c>
      <c r="D392" s="4" t="s">
        <v>2071</v>
      </c>
      <c r="E392" s="4" t="s">
        <v>47</v>
      </c>
      <c r="F392" s="4" t="s">
        <v>2072</v>
      </c>
      <c r="G392" s="4" t="s">
        <v>47</v>
      </c>
      <c r="H392" s="4" t="s">
        <v>47</v>
      </c>
      <c r="I392">
        <f t="shared" si="12"/>
        <v>0</v>
      </c>
      <c r="J392">
        <f t="shared" si="13"/>
        <v>0</v>
      </c>
    </row>
    <row r="393" spans="1:10" ht="15" customHeight="1" x14ac:dyDescent="0.2">
      <c r="A393" s="3" t="s">
        <v>2073</v>
      </c>
      <c r="B393" s="3" t="s">
        <v>2074</v>
      </c>
      <c r="C393" s="3" t="s">
        <v>2075</v>
      </c>
      <c r="D393" s="3" t="s">
        <v>2075</v>
      </c>
      <c r="E393" s="3" t="s">
        <v>2076</v>
      </c>
      <c r="F393" s="3" t="s">
        <v>2077</v>
      </c>
      <c r="G393" s="3" t="s">
        <v>2077</v>
      </c>
      <c r="H393" s="3" t="s">
        <v>47</v>
      </c>
      <c r="I393">
        <f t="shared" si="12"/>
        <v>858.25</v>
      </c>
      <c r="J393">
        <f t="shared" si="13"/>
        <v>-858.25</v>
      </c>
    </row>
    <row r="394" spans="1:10" ht="15" customHeight="1" x14ac:dyDescent="0.2">
      <c r="A394" s="4" t="s">
        <v>2078</v>
      </c>
      <c r="B394" s="4" t="s">
        <v>2079</v>
      </c>
      <c r="C394" s="4" t="s">
        <v>47</v>
      </c>
      <c r="D394" s="4" t="s">
        <v>47</v>
      </c>
      <c r="E394" s="4" t="s">
        <v>2080</v>
      </c>
      <c r="F394" s="4" t="s">
        <v>2080</v>
      </c>
      <c r="G394" s="4" t="s">
        <v>47</v>
      </c>
      <c r="H394" s="4" t="s">
        <v>47</v>
      </c>
      <c r="I394">
        <f t="shared" si="12"/>
        <v>0</v>
      </c>
      <c r="J394">
        <f t="shared" si="13"/>
        <v>0</v>
      </c>
    </row>
    <row r="395" spans="1:10" ht="15" customHeight="1" x14ac:dyDescent="0.2">
      <c r="A395" s="3" t="s">
        <v>2081</v>
      </c>
      <c r="B395" s="3" t="s">
        <v>2082</v>
      </c>
      <c r="C395" s="3" t="s">
        <v>2083</v>
      </c>
      <c r="D395" s="3" t="s">
        <v>2084</v>
      </c>
      <c r="E395" s="3" t="s">
        <v>47</v>
      </c>
      <c r="F395" s="3" t="s">
        <v>2085</v>
      </c>
      <c r="G395" s="3" t="s">
        <v>2086</v>
      </c>
      <c r="H395" s="3" t="s">
        <v>47</v>
      </c>
      <c r="I395">
        <f t="shared" si="12"/>
        <v>11236.45</v>
      </c>
      <c r="J395">
        <f t="shared" si="13"/>
        <v>-11236.45</v>
      </c>
    </row>
    <row r="396" spans="1:10" ht="15" customHeight="1" x14ac:dyDescent="0.2">
      <c r="A396" s="4" t="s">
        <v>2087</v>
      </c>
      <c r="B396" s="4" t="s">
        <v>2088</v>
      </c>
      <c r="C396" s="4" t="s">
        <v>2089</v>
      </c>
      <c r="D396" s="4" t="s">
        <v>2090</v>
      </c>
      <c r="E396" s="4" t="s">
        <v>47</v>
      </c>
      <c r="F396" s="4" t="s">
        <v>2091</v>
      </c>
      <c r="G396" s="4" t="s">
        <v>2092</v>
      </c>
      <c r="H396" s="4" t="s">
        <v>47</v>
      </c>
      <c r="I396">
        <f t="shared" si="12"/>
        <v>676.57</v>
      </c>
      <c r="J396">
        <f t="shared" si="13"/>
        <v>-676.57</v>
      </c>
    </row>
    <row r="397" spans="1:10" ht="15" customHeight="1" x14ac:dyDescent="0.2">
      <c r="A397" s="3" t="s">
        <v>2093</v>
      </c>
      <c r="B397" s="3" t="s">
        <v>2094</v>
      </c>
      <c r="C397" s="3" t="s">
        <v>2095</v>
      </c>
      <c r="D397" s="3" t="s">
        <v>47</v>
      </c>
      <c r="E397" s="3" t="s">
        <v>47</v>
      </c>
      <c r="F397" s="3" t="s">
        <v>47</v>
      </c>
      <c r="G397" s="3" t="s">
        <v>2095</v>
      </c>
      <c r="H397" s="3" t="s">
        <v>47</v>
      </c>
      <c r="I397">
        <f t="shared" si="12"/>
        <v>693.54</v>
      </c>
      <c r="J397">
        <f t="shared" si="13"/>
        <v>-693.54</v>
      </c>
    </row>
    <row r="398" spans="1:10" ht="15" customHeight="1" x14ac:dyDescent="0.2">
      <c r="A398" s="4" t="s">
        <v>2096</v>
      </c>
      <c r="B398" s="4" t="s">
        <v>2097</v>
      </c>
      <c r="C398" s="4" t="s">
        <v>2098</v>
      </c>
      <c r="D398" s="4" t="s">
        <v>2099</v>
      </c>
      <c r="E398" s="4" t="s">
        <v>47</v>
      </c>
      <c r="F398" s="4" t="s">
        <v>2100</v>
      </c>
      <c r="G398" s="4" t="s">
        <v>2101</v>
      </c>
      <c r="H398" s="4" t="s">
        <v>47</v>
      </c>
      <c r="I398">
        <f t="shared" si="12"/>
        <v>1629.33</v>
      </c>
      <c r="J398">
        <f t="shared" si="13"/>
        <v>-1629.33</v>
      </c>
    </row>
    <row r="399" spans="1:10" ht="15" customHeight="1" x14ac:dyDescent="0.2">
      <c r="A399" s="3" t="s">
        <v>2102</v>
      </c>
      <c r="B399" s="3" t="s">
        <v>2103</v>
      </c>
      <c r="C399" s="3" t="s">
        <v>2104</v>
      </c>
      <c r="D399" s="3" t="s">
        <v>2105</v>
      </c>
      <c r="E399" s="3" t="s">
        <v>47</v>
      </c>
      <c r="F399" s="3" t="s">
        <v>2106</v>
      </c>
      <c r="G399" s="3" t="s">
        <v>47</v>
      </c>
      <c r="H399" s="3" t="s">
        <v>47</v>
      </c>
      <c r="I399">
        <f t="shared" si="12"/>
        <v>0</v>
      </c>
      <c r="J399">
        <f t="shared" si="13"/>
        <v>0</v>
      </c>
    </row>
    <row r="400" spans="1:10" ht="15" customHeight="1" x14ac:dyDescent="0.2">
      <c r="A400" s="4" t="s">
        <v>2107</v>
      </c>
      <c r="B400" s="4" t="s">
        <v>2108</v>
      </c>
      <c r="C400" s="4" t="s">
        <v>2109</v>
      </c>
      <c r="D400" s="4" t="s">
        <v>2110</v>
      </c>
      <c r="E400" s="4" t="s">
        <v>47</v>
      </c>
      <c r="F400" s="4" t="s">
        <v>2111</v>
      </c>
      <c r="G400" s="4" t="s">
        <v>2112</v>
      </c>
      <c r="H400" s="4" t="s">
        <v>47</v>
      </c>
      <c r="I400">
        <f t="shared" si="12"/>
        <v>7920</v>
      </c>
      <c r="J400">
        <f t="shared" si="13"/>
        <v>-7920</v>
      </c>
    </row>
    <row r="401" spans="1:10" ht="15" customHeight="1" x14ac:dyDescent="0.2">
      <c r="A401" s="3" t="s">
        <v>2113</v>
      </c>
      <c r="B401" s="3" t="s">
        <v>2114</v>
      </c>
      <c r="C401" s="3" t="s">
        <v>2115</v>
      </c>
      <c r="D401" s="3" t="s">
        <v>2116</v>
      </c>
      <c r="E401" s="3" t="s">
        <v>47</v>
      </c>
      <c r="F401" s="3" t="s">
        <v>2117</v>
      </c>
      <c r="G401" s="3" t="s">
        <v>2118</v>
      </c>
      <c r="H401" s="3" t="s">
        <v>47</v>
      </c>
      <c r="I401">
        <f t="shared" si="12"/>
        <v>1749.98</v>
      </c>
      <c r="J401">
        <f t="shared" si="13"/>
        <v>-1749.98</v>
      </c>
    </row>
    <row r="402" spans="1:10" ht="15" customHeight="1" x14ac:dyDescent="0.2">
      <c r="A402" s="4" t="s">
        <v>2119</v>
      </c>
      <c r="B402" s="4" t="s">
        <v>2120</v>
      </c>
      <c r="C402" s="4" t="s">
        <v>2121</v>
      </c>
      <c r="D402" s="4" t="s">
        <v>47</v>
      </c>
      <c r="E402" s="4" t="s">
        <v>47</v>
      </c>
      <c r="F402" s="4" t="s">
        <v>47</v>
      </c>
      <c r="G402" s="4" t="s">
        <v>2121</v>
      </c>
      <c r="H402" s="4" t="s">
        <v>47</v>
      </c>
      <c r="I402">
        <f t="shared" si="12"/>
        <v>4589.41</v>
      </c>
      <c r="J402">
        <f t="shared" si="13"/>
        <v>-4589.41</v>
      </c>
    </row>
    <row r="403" spans="1:10" ht="15" customHeight="1" x14ac:dyDescent="0.2">
      <c r="A403" s="3" t="s">
        <v>2122</v>
      </c>
      <c r="B403" s="3" t="s">
        <v>2123</v>
      </c>
      <c r="C403" s="3" t="s">
        <v>2124</v>
      </c>
      <c r="D403" s="3" t="s">
        <v>2124</v>
      </c>
      <c r="E403" s="3" t="s">
        <v>2125</v>
      </c>
      <c r="F403" s="3" t="s">
        <v>2125</v>
      </c>
      <c r="G403" s="3" t="s">
        <v>47</v>
      </c>
      <c r="H403" s="3" t="s">
        <v>47</v>
      </c>
      <c r="I403">
        <f t="shared" si="12"/>
        <v>0</v>
      </c>
      <c r="J403">
        <f t="shared" si="13"/>
        <v>0</v>
      </c>
    </row>
    <row r="404" spans="1:10" ht="15" customHeight="1" x14ac:dyDescent="0.2">
      <c r="A404" s="4" t="s">
        <v>2126</v>
      </c>
      <c r="B404" s="4" t="s">
        <v>2127</v>
      </c>
      <c r="C404" s="4" t="s">
        <v>2128</v>
      </c>
      <c r="D404" s="4" t="s">
        <v>2128</v>
      </c>
      <c r="E404" s="4" t="s">
        <v>2129</v>
      </c>
      <c r="F404" s="4" t="s">
        <v>1032</v>
      </c>
      <c r="G404" s="4" t="s">
        <v>2130</v>
      </c>
      <c r="H404" s="4" t="s">
        <v>47</v>
      </c>
      <c r="I404">
        <f t="shared" si="12"/>
        <v>5200</v>
      </c>
      <c r="J404">
        <f t="shared" si="13"/>
        <v>-5200</v>
      </c>
    </row>
    <row r="405" spans="1:10" ht="15" customHeight="1" x14ac:dyDescent="0.2">
      <c r="A405" s="3" t="s">
        <v>2131</v>
      </c>
      <c r="B405" s="3" t="s">
        <v>2132</v>
      </c>
      <c r="C405" s="3" t="s">
        <v>2133</v>
      </c>
      <c r="D405" s="3" t="s">
        <v>2134</v>
      </c>
      <c r="E405" s="3" t="s">
        <v>47</v>
      </c>
      <c r="F405" s="3" t="s">
        <v>47</v>
      </c>
      <c r="G405" s="3" t="s">
        <v>2135</v>
      </c>
      <c r="H405" s="3" t="s">
        <v>47</v>
      </c>
      <c r="I405">
        <f t="shared" si="12"/>
        <v>18300</v>
      </c>
      <c r="J405">
        <f t="shared" si="13"/>
        <v>-18300</v>
      </c>
    </row>
    <row r="406" spans="1:10" ht="15" customHeight="1" x14ac:dyDescent="0.2">
      <c r="A406" s="4" t="s">
        <v>2136</v>
      </c>
      <c r="B406" s="4" t="s">
        <v>2137</v>
      </c>
      <c r="C406" s="4" t="s">
        <v>2138</v>
      </c>
      <c r="D406" s="4" t="s">
        <v>47</v>
      </c>
      <c r="E406" s="4" t="s">
        <v>47</v>
      </c>
      <c r="F406" s="4" t="s">
        <v>47</v>
      </c>
      <c r="G406" s="4" t="s">
        <v>2138</v>
      </c>
      <c r="H406" s="4" t="s">
        <v>47</v>
      </c>
      <c r="I406">
        <f t="shared" si="12"/>
        <v>714.34</v>
      </c>
      <c r="J406">
        <f t="shared" si="13"/>
        <v>-714.34</v>
      </c>
    </row>
    <row r="407" spans="1:10" ht="15" customHeight="1" x14ac:dyDescent="0.2">
      <c r="A407" s="3" t="s">
        <v>2139</v>
      </c>
      <c r="B407" s="3" t="s">
        <v>2140</v>
      </c>
      <c r="C407" s="3" t="s">
        <v>2141</v>
      </c>
      <c r="D407" s="3" t="s">
        <v>2142</v>
      </c>
      <c r="E407" s="3" t="s">
        <v>47</v>
      </c>
      <c r="F407" s="3" t="s">
        <v>47</v>
      </c>
      <c r="G407" s="3" t="s">
        <v>2143</v>
      </c>
      <c r="H407" s="3" t="s">
        <v>47</v>
      </c>
      <c r="I407">
        <f t="shared" si="12"/>
        <v>5320.35</v>
      </c>
      <c r="J407">
        <f t="shared" si="13"/>
        <v>-5320.35</v>
      </c>
    </row>
    <row r="408" spans="1:10" ht="15" customHeight="1" x14ac:dyDescent="0.2">
      <c r="A408" s="4" t="s">
        <v>2144</v>
      </c>
      <c r="B408" s="4" t="s">
        <v>2145</v>
      </c>
      <c r="C408" s="4" t="s">
        <v>2146</v>
      </c>
      <c r="D408" s="4" t="s">
        <v>2147</v>
      </c>
      <c r="E408" s="4" t="s">
        <v>595</v>
      </c>
      <c r="F408" s="4" t="s">
        <v>2148</v>
      </c>
      <c r="G408" s="4" t="s">
        <v>2149</v>
      </c>
      <c r="H408" s="4" t="s">
        <v>47</v>
      </c>
      <c r="I408">
        <f t="shared" si="12"/>
        <v>91570.81</v>
      </c>
      <c r="J408">
        <f t="shared" si="13"/>
        <v>-91570.81</v>
      </c>
    </row>
    <row r="409" spans="1:10" ht="15" customHeight="1" x14ac:dyDescent="0.2">
      <c r="A409" s="3" t="s">
        <v>2150</v>
      </c>
      <c r="B409" s="3" t="s">
        <v>1327</v>
      </c>
      <c r="C409" s="3" t="s">
        <v>2151</v>
      </c>
      <c r="D409" s="3" t="s">
        <v>2152</v>
      </c>
      <c r="E409" s="3" t="s">
        <v>47</v>
      </c>
      <c r="F409" s="3" t="s">
        <v>2153</v>
      </c>
      <c r="G409" s="3" t="s">
        <v>2154</v>
      </c>
      <c r="H409" s="3" t="s">
        <v>47</v>
      </c>
      <c r="I409">
        <f t="shared" si="12"/>
        <v>3599.44</v>
      </c>
      <c r="J409">
        <f t="shared" si="13"/>
        <v>-3599.44</v>
      </c>
    </row>
    <row r="410" spans="1:10" ht="15" customHeight="1" x14ac:dyDescent="0.2">
      <c r="A410" s="4" t="s">
        <v>2155</v>
      </c>
      <c r="B410" s="4" t="s">
        <v>2156</v>
      </c>
      <c r="C410" s="4" t="s">
        <v>2157</v>
      </c>
      <c r="D410" s="4" t="s">
        <v>2158</v>
      </c>
      <c r="E410" s="4" t="s">
        <v>47</v>
      </c>
      <c r="F410" s="4" t="s">
        <v>47</v>
      </c>
      <c r="G410" s="4" t="s">
        <v>2142</v>
      </c>
      <c r="H410" s="4" t="s">
        <v>47</v>
      </c>
      <c r="I410">
        <f t="shared" si="12"/>
        <v>5179.6499999999996</v>
      </c>
      <c r="J410">
        <f t="shared" si="13"/>
        <v>-5179.6499999999996</v>
      </c>
    </row>
    <row r="411" spans="1:10" ht="15" customHeight="1" x14ac:dyDescent="0.2">
      <c r="A411" s="3" t="s">
        <v>2159</v>
      </c>
      <c r="B411" s="3" t="s">
        <v>2160</v>
      </c>
      <c r="C411" s="3" t="s">
        <v>47</v>
      </c>
      <c r="D411" s="3" t="s">
        <v>47</v>
      </c>
      <c r="E411" s="3" t="s">
        <v>595</v>
      </c>
      <c r="F411" s="3" t="s">
        <v>595</v>
      </c>
      <c r="G411" s="3" t="s">
        <v>47</v>
      </c>
      <c r="H411" s="3" t="s">
        <v>47</v>
      </c>
      <c r="I411">
        <f t="shared" si="12"/>
        <v>0</v>
      </c>
      <c r="J411">
        <f t="shared" si="13"/>
        <v>0</v>
      </c>
    </row>
    <row r="412" spans="1:10" ht="15" customHeight="1" x14ac:dyDescent="0.2">
      <c r="A412" s="4" t="s">
        <v>2161</v>
      </c>
      <c r="B412" s="4" t="s">
        <v>2162</v>
      </c>
      <c r="C412" s="4" t="s">
        <v>2163</v>
      </c>
      <c r="D412" s="4" t="s">
        <v>2163</v>
      </c>
      <c r="E412" s="4" t="s">
        <v>2164</v>
      </c>
      <c r="F412" s="4" t="s">
        <v>2164</v>
      </c>
      <c r="G412" s="4" t="s">
        <v>47</v>
      </c>
      <c r="H412" s="4" t="s">
        <v>47</v>
      </c>
      <c r="I412">
        <f t="shared" si="12"/>
        <v>0</v>
      </c>
      <c r="J412">
        <f t="shared" si="13"/>
        <v>0</v>
      </c>
    </row>
    <row r="413" spans="1:10" ht="15" customHeight="1" x14ac:dyDescent="0.2">
      <c r="A413" s="3" t="s">
        <v>2165</v>
      </c>
      <c r="B413" s="3" t="s">
        <v>2166</v>
      </c>
      <c r="C413" s="3" t="s">
        <v>2167</v>
      </c>
      <c r="D413" s="3" t="s">
        <v>2167</v>
      </c>
      <c r="E413" s="3" t="s">
        <v>2168</v>
      </c>
      <c r="F413" s="3" t="s">
        <v>2168</v>
      </c>
      <c r="G413" s="3" t="s">
        <v>47</v>
      </c>
      <c r="H413" s="3" t="s">
        <v>47</v>
      </c>
      <c r="I413">
        <f t="shared" si="12"/>
        <v>0</v>
      </c>
      <c r="J413">
        <f t="shared" si="13"/>
        <v>0</v>
      </c>
    </row>
    <row r="414" spans="1:10" ht="15" customHeight="1" x14ac:dyDescent="0.2">
      <c r="A414" s="4" t="s">
        <v>2169</v>
      </c>
      <c r="B414" s="4" t="s">
        <v>2170</v>
      </c>
      <c r="C414" s="4" t="s">
        <v>2171</v>
      </c>
      <c r="D414" s="4" t="s">
        <v>2172</v>
      </c>
      <c r="E414" s="4" t="s">
        <v>47</v>
      </c>
      <c r="F414" s="4" t="s">
        <v>47</v>
      </c>
      <c r="G414" s="4" t="s">
        <v>2173</v>
      </c>
      <c r="H414" s="4" t="s">
        <v>47</v>
      </c>
      <c r="I414">
        <f t="shared" si="12"/>
        <v>350.71</v>
      </c>
      <c r="J414">
        <f t="shared" si="13"/>
        <v>-350.71</v>
      </c>
    </row>
    <row r="415" spans="1:10" ht="15" customHeight="1" x14ac:dyDescent="0.2">
      <c r="A415" s="3" t="s">
        <v>2174</v>
      </c>
      <c r="B415" s="3" t="s">
        <v>2175</v>
      </c>
      <c r="C415" s="3" t="s">
        <v>2176</v>
      </c>
      <c r="D415" s="3" t="s">
        <v>2176</v>
      </c>
      <c r="E415" s="3" t="s">
        <v>2177</v>
      </c>
      <c r="F415" s="3" t="s">
        <v>47</v>
      </c>
      <c r="G415" s="3" t="s">
        <v>2177</v>
      </c>
      <c r="H415" s="3" t="s">
        <v>47</v>
      </c>
      <c r="I415">
        <f t="shared" si="12"/>
        <v>773.04</v>
      </c>
      <c r="J415">
        <f t="shared" si="13"/>
        <v>-773.04</v>
      </c>
    </row>
    <row r="416" spans="1:10" ht="15" customHeight="1" x14ac:dyDescent="0.2">
      <c r="A416" s="4" t="s">
        <v>2178</v>
      </c>
      <c r="B416" s="4" t="s">
        <v>2179</v>
      </c>
      <c r="C416" s="4" t="s">
        <v>2180</v>
      </c>
      <c r="D416" s="4" t="s">
        <v>2181</v>
      </c>
      <c r="E416" s="4" t="s">
        <v>47</v>
      </c>
      <c r="F416" s="4" t="s">
        <v>2182</v>
      </c>
      <c r="G416" s="4" t="s">
        <v>2183</v>
      </c>
      <c r="H416" s="4" t="s">
        <v>47</v>
      </c>
      <c r="I416">
        <f t="shared" si="12"/>
        <v>15865.49</v>
      </c>
      <c r="J416">
        <f t="shared" si="13"/>
        <v>-15865.49</v>
      </c>
    </row>
    <row r="417" spans="1:10" ht="15" customHeight="1" x14ac:dyDescent="0.2">
      <c r="A417" s="3" t="s">
        <v>2184</v>
      </c>
      <c r="B417" s="3" t="s">
        <v>2185</v>
      </c>
      <c r="C417" s="3" t="s">
        <v>2186</v>
      </c>
      <c r="D417" s="3" t="s">
        <v>47</v>
      </c>
      <c r="E417" s="3" t="s">
        <v>47</v>
      </c>
      <c r="F417" s="3" t="s">
        <v>47</v>
      </c>
      <c r="G417" s="3" t="s">
        <v>2186</v>
      </c>
      <c r="H417" s="3" t="s">
        <v>47</v>
      </c>
      <c r="I417">
        <f t="shared" si="12"/>
        <v>2842.88</v>
      </c>
      <c r="J417">
        <f t="shared" si="13"/>
        <v>-2842.88</v>
      </c>
    </row>
    <row r="418" spans="1:10" ht="15" customHeight="1" x14ac:dyDescent="0.2">
      <c r="A418" s="4" t="s">
        <v>2187</v>
      </c>
      <c r="B418" s="4" t="s">
        <v>2188</v>
      </c>
      <c r="C418" s="4" t="s">
        <v>2189</v>
      </c>
      <c r="D418" s="4" t="s">
        <v>2190</v>
      </c>
      <c r="E418" s="4" t="s">
        <v>47</v>
      </c>
      <c r="F418" s="4" t="s">
        <v>47</v>
      </c>
      <c r="G418" s="4" t="s">
        <v>2190</v>
      </c>
      <c r="H418" s="4" t="s">
        <v>47</v>
      </c>
      <c r="I418">
        <f t="shared" si="12"/>
        <v>840.39</v>
      </c>
      <c r="J418">
        <f t="shared" si="13"/>
        <v>-840.39</v>
      </c>
    </row>
    <row r="419" spans="1:10" ht="15" customHeight="1" x14ac:dyDescent="0.2">
      <c r="A419" s="3" t="s">
        <v>2191</v>
      </c>
      <c r="B419" s="3" t="s">
        <v>2192</v>
      </c>
      <c r="C419" s="3" t="s">
        <v>2193</v>
      </c>
      <c r="D419" s="3" t="s">
        <v>2194</v>
      </c>
      <c r="E419" s="3" t="s">
        <v>47</v>
      </c>
      <c r="F419" s="3" t="s">
        <v>2195</v>
      </c>
      <c r="G419" s="3" t="s">
        <v>47</v>
      </c>
      <c r="H419" s="3" t="s">
        <v>47</v>
      </c>
      <c r="I419">
        <f t="shared" si="12"/>
        <v>0</v>
      </c>
      <c r="J419">
        <f t="shared" si="13"/>
        <v>0</v>
      </c>
    </row>
    <row r="420" spans="1:10" ht="15" customHeight="1" x14ac:dyDescent="0.2">
      <c r="A420" s="4" t="s">
        <v>2196</v>
      </c>
      <c r="B420" s="4" t="s">
        <v>2197</v>
      </c>
      <c r="C420" s="4" t="s">
        <v>2198</v>
      </c>
      <c r="D420" s="4" t="s">
        <v>2198</v>
      </c>
      <c r="E420" s="4" t="s">
        <v>2199</v>
      </c>
      <c r="F420" s="4" t="s">
        <v>2199</v>
      </c>
      <c r="G420" s="4" t="s">
        <v>47</v>
      </c>
      <c r="H420" s="4" t="s">
        <v>47</v>
      </c>
      <c r="I420">
        <f t="shared" si="12"/>
        <v>0</v>
      </c>
      <c r="J420">
        <f t="shared" si="13"/>
        <v>0</v>
      </c>
    </row>
    <row r="421" spans="1:10" ht="15" customHeight="1" x14ac:dyDescent="0.2">
      <c r="A421" s="3" t="s">
        <v>2200</v>
      </c>
      <c r="B421" s="3" t="s">
        <v>2201</v>
      </c>
      <c r="C421" s="3" t="s">
        <v>2202</v>
      </c>
      <c r="D421" s="3" t="s">
        <v>2203</v>
      </c>
      <c r="E421" s="3" t="s">
        <v>47</v>
      </c>
      <c r="F421" s="3" t="s">
        <v>2204</v>
      </c>
      <c r="G421" s="3" t="s">
        <v>47</v>
      </c>
      <c r="H421" s="3" t="s">
        <v>47</v>
      </c>
      <c r="I421">
        <f t="shared" si="12"/>
        <v>0</v>
      </c>
      <c r="J421">
        <f t="shared" si="13"/>
        <v>0</v>
      </c>
    </row>
    <row r="422" spans="1:10" ht="15" customHeight="1" x14ac:dyDescent="0.2">
      <c r="A422" s="4" t="s">
        <v>2205</v>
      </c>
      <c r="B422" s="4" t="s">
        <v>2206</v>
      </c>
      <c r="C422" s="4" t="s">
        <v>2207</v>
      </c>
      <c r="D422" s="4" t="s">
        <v>47</v>
      </c>
      <c r="E422" s="4" t="s">
        <v>47</v>
      </c>
      <c r="F422" s="4" t="s">
        <v>47</v>
      </c>
      <c r="G422" s="4" t="s">
        <v>2207</v>
      </c>
      <c r="H422" s="4" t="s">
        <v>47</v>
      </c>
      <c r="I422">
        <f t="shared" si="12"/>
        <v>12674.96</v>
      </c>
      <c r="J422">
        <f t="shared" si="13"/>
        <v>-12674.96</v>
      </c>
    </row>
    <row r="423" spans="1:10" ht="15" customHeight="1" x14ac:dyDescent="0.2">
      <c r="A423" s="3" t="s">
        <v>2208</v>
      </c>
      <c r="B423" s="3" t="s">
        <v>2209</v>
      </c>
      <c r="C423" s="3" t="s">
        <v>2210</v>
      </c>
      <c r="D423" s="3" t="s">
        <v>2210</v>
      </c>
      <c r="E423" s="3" t="s">
        <v>2211</v>
      </c>
      <c r="F423" s="3" t="s">
        <v>2211</v>
      </c>
      <c r="G423" s="3" t="s">
        <v>47</v>
      </c>
      <c r="H423" s="3" t="s">
        <v>47</v>
      </c>
      <c r="I423">
        <f t="shared" si="12"/>
        <v>0</v>
      </c>
      <c r="J423">
        <f t="shared" si="13"/>
        <v>0</v>
      </c>
    </row>
    <row r="424" spans="1:10" ht="15" customHeight="1" x14ac:dyDescent="0.2">
      <c r="A424" s="4" t="s">
        <v>2212</v>
      </c>
      <c r="B424" s="4" t="s">
        <v>2213</v>
      </c>
      <c r="C424" s="4" t="s">
        <v>47</v>
      </c>
      <c r="D424" s="4" t="s">
        <v>47</v>
      </c>
      <c r="E424" s="4" t="s">
        <v>2214</v>
      </c>
      <c r="F424" s="4" t="s">
        <v>47</v>
      </c>
      <c r="G424" s="4" t="s">
        <v>2214</v>
      </c>
      <c r="H424" s="4" t="s">
        <v>47</v>
      </c>
      <c r="I424">
        <f t="shared" si="12"/>
        <v>540</v>
      </c>
      <c r="J424">
        <f t="shared" si="13"/>
        <v>-540</v>
      </c>
    </row>
    <row r="425" spans="1:10" ht="15" customHeight="1" x14ac:dyDescent="0.2">
      <c r="A425" s="3" t="s">
        <v>2215</v>
      </c>
      <c r="B425" s="3" t="s">
        <v>2216</v>
      </c>
      <c r="C425" s="3" t="s">
        <v>2217</v>
      </c>
      <c r="D425" s="3" t="s">
        <v>394</v>
      </c>
      <c r="E425" s="3" t="s">
        <v>47</v>
      </c>
      <c r="F425" s="3" t="s">
        <v>47</v>
      </c>
      <c r="G425" s="3" t="s">
        <v>2218</v>
      </c>
      <c r="H425" s="3" t="s">
        <v>47</v>
      </c>
      <c r="I425">
        <f t="shared" si="12"/>
        <v>12492.72</v>
      </c>
      <c r="J425">
        <f t="shared" si="13"/>
        <v>-12492.72</v>
      </c>
    </row>
    <row r="426" spans="1:10" ht="15" customHeight="1" x14ac:dyDescent="0.2">
      <c r="A426" s="4" t="s">
        <v>2219</v>
      </c>
      <c r="B426" s="4" t="s">
        <v>2220</v>
      </c>
      <c r="C426" s="4" t="s">
        <v>2221</v>
      </c>
      <c r="D426" s="4" t="s">
        <v>47</v>
      </c>
      <c r="E426" s="4" t="s">
        <v>47</v>
      </c>
      <c r="F426" s="4" t="s">
        <v>47</v>
      </c>
      <c r="G426" s="4" t="s">
        <v>2221</v>
      </c>
      <c r="H426" s="4" t="s">
        <v>47</v>
      </c>
      <c r="I426">
        <f t="shared" si="12"/>
        <v>1301.3800000000001</v>
      </c>
      <c r="J426">
        <f t="shared" si="13"/>
        <v>-1301.3800000000001</v>
      </c>
    </row>
    <row r="427" spans="1:10" ht="15" customHeight="1" x14ac:dyDescent="0.2">
      <c r="A427" s="3" t="s">
        <v>2222</v>
      </c>
      <c r="B427" s="3" t="s">
        <v>2223</v>
      </c>
      <c r="C427" s="3" t="s">
        <v>2224</v>
      </c>
      <c r="D427" s="3" t="s">
        <v>47</v>
      </c>
      <c r="E427" s="3" t="s">
        <v>47</v>
      </c>
      <c r="F427" s="3" t="s">
        <v>47</v>
      </c>
      <c r="G427" s="3" t="s">
        <v>2224</v>
      </c>
      <c r="H427" s="3" t="s">
        <v>47</v>
      </c>
      <c r="I427">
        <f t="shared" si="12"/>
        <v>3483.33</v>
      </c>
      <c r="J427">
        <f t="shared" si="13"/>
        <v>-3483.33</v>
      </c>
    </row>
    <row r="428" spans="1:10" ht="15" customHeight="1" x14ac:dyDescent="0.2">
      <c r="A428" s="4" t="s">
        <v>2225</v>
      </c>
      <c r="B428" s="4" t="s">
        <v>2226</v>
      </c>
      <c r="C428" s="4" t="s">
        <v>2227</v>
      </c>
      <c r="D428" s="4" t="s">
        <v>2228</v>
      </c>
      <c r="E428" s="4" t="s">
        <v>47</v>
      </c>
      <c r="F428" s="4" t="s">
        <v>47</v>
      </c>
      <c r="G428" s="4" t="s">
        <v>2229</v>
      </c>
      <c r="H428" s="4" t="s">
        <v>47</v>
      </c>
      <c r="I428">
        <f t="shared" si="12"/>
        <v>166.29</v>
      </c>
      <c r="J428">
        <f t="shared" si="13"/>
        <v>-166.29</v>
      </c>
    </row>
    <row r="429" spans="1:10" ht="15" customHeight="1" x14ac:dyDescent="0.2">
      <c r="A429" s="3" t="s">
        <v>2230</v>
      </c>
      <c r="B429" s="3" t="s">
        <v>2231</v>
      </c>
      <c r="C429" s="3" t="s">
        <v>2232</v>
      </c>
      <c r="D429" s="3" t="s">
        <v>2233</v>
      </c>
      <c r="E429" s="3" t="s">
        <v>47</v>
      </c>
      <c r="F429" s="3" t="s">
        <v>47</v>
      </c>
      <c r="G429" s="3" t="s">
        <v>2234</v>
      </c>
      <c r="H429" s="3" t="s">
        <v>47</v>
      </c>
      <c r="I429">
        <f t="shared" si="12"/>
        <v>9718.16</v>
      </c>
      <c r="J429">
        <f t="shared" si="13"/>
        <v>-9718.16</v>
      </c>
    </row>
    <row r="430" spans="1:10" ht="15" customHeight="1" x14ac:dyDescent="0.2">
      <c r="A430" s="4" t="s">
        <v>2235</v>
      </c>
      <c r="B430" s="4" t="s">
        <v>2236</v>
      </c>
      <c r="C430" s="4" t="s">
        <v>2237</v>
      </c>
      <c r="D430" s="4" t="s">
        <v>2238</v>
      </c>
      <c r="E430" s="4" t="s">
        <v>47</v>
      </c>
      <c r="F430" s="4" t="s">
        <v>2239</v>
      </c>
      <c r="G430" s="4" t="s">
        <v>2240</v>
      </c>
      <c r="H430" s="4" t="s">
        <v>47</v>
      </c>
      <c r="I430">
        <f t="shared" si="12"/>
        <v>3550</v>
      </c>
      <c r="J430">
        <f t="shared" si="13"/>
        <v>-3550</v>
      </c>
    </row>
    <row r="431" spans="1:10" ht="15" customHeight="1" x14ac:dyDescent="0.2">
      <c r="A431" s="3" t="s">
        <v>2241</v>
      </c>
      <c r="B431" s="3" t="s">
        <v>2242</v>
      </c>
      <c r="C431" s="3" t="s">
        <v>2243</v>
      </c>
      <c r="D431" s="3" t="s">
        <v>2243</v>
      </c>
      <c r="E431" s="3" t="s">
        <v>2244</v>
      </c>
      <c r="F431" s="3" t="s">
        <v>47</v>
      </c>
      <c r="G431" s="3" t="s">
        <v>2244</v>
      </c>
      <c r="H431" s="3" t="s">
        <v>47</v>
      </c>
      <c r="I431">
        <f t="shared" si="12"/>
        <v>4360.74</v>
      </c>
      <c r="J431">
        <f t="shared" si="13"/>
        <v>-4360.74</v>
      </c>
    </row>
    <row r="432" spans="1:10" ht="15" customHeight="1" x14ac:dyDescent="0.2">
      <c r="A432" s="4" t="s">
        <v>2245</v>
      </c>
      <c r="B432" s="4" t="s">
        <v>2246</v>
      </c>
      <c r="C432" s="4" t="s">
        <v>2247</v>
      </c>
      <c r="D432" s="4" t="s">
        <v>2248</v>
      </c>
      <c r="E432" s="4" t="s">
        <v>47</v>
      </c>
      <c r="F432" s="4" t="s">
        <v>47</v>
      </c>
      <c r="G432" s="4" t="s">
        <v>2249</v>
      </c>
      <c r="H432" s="4" t="s">
        <v>47</v>
      </c>
      <c r="I432">
        <f t="shared" si="12"/>
        <v>307.68</v>
      </c>
      <c r="J432">
        <f t="shared" si="13"/>
        <v>-307.68</v>
      </c>
    </row>
    <row r="433" spans="1:10" ht="15" customHeight="1" x14ac:dyDescent="0.2">
      <c r="A433" s="3" t="s">
        <v>2250</v>
      </c>
      <c r="B433" s="3" t="s">
        <v>2251</v>
      </c>
      <c r="C433" s="3" t="s">
        <v>2252</v>
      </c>
      <c r="D433" s="3" t="s">
        <v>2253</v>
      </c>
      <c r="E433" s="3" t="s">
        <v>2254</v>
      </c>
      <c r="F433" s="3" t="s">
        <v>2255</v>
      </c>
      <c r="G433" s="3" t="s">
        <v>2256</v>
      </c>
      <c r="H433" s="3" t="s">
        <v>47</v>
      </c>
      <c r="I433">
        <f t="shared" si="12"/>
        <v>23531.91</v>
      </c>
      <c r="J433">
        <f t="shared" si="13"/>
        <v>-23531.91</v>
      </c>
    </row>
    <row r="434" spans="1:10" ht="15" customHeight="1" x14ac:dyDescent="0.2">
      <c r="A434" s="4" t="s">
        <v>2257</v>
      </c>
      <c r="B434" s="4" t="s">
        <v>2258</v>
      </c>
      <c r="C434" s="4" t="s">
        <v>2259</v>
      </c>
      <c r="D434" s="4" t="s">
        <v>2260</v>
      </c>
      <c r="E434" s="4" t="s">
        <v>47</v>
      </c>
      <c r="F434" s="4" t="s">
        <v>47</v>
      </c>
      <c r="G434" s="4" t="s">
        <v>2261</v>
      </c>
      <c r="H434" s="4" t="s">
        <v>47</v>
      </c>
      <c r="I434">
        <f t="shared" si="12"/>
        <v>2395.64</v>
      </c>
      <c r="J434">
        <f t="shared" si="13"/>
        <v>-2395.64</v>
      </c>
    </row>
    <row r="435" spans="1:10" ht="15" customHeight="1" x14ac:dyDescent="0.2">
      <c r="A435" s="3" t="s">
        <v>2262</v>
      </c>
      <c r="B435" s="3" t="s">
        <v>2263</v>
      </c>
      <c r="C435" s="3" t="s">
        <v>2264</v>
      </c>
      <c r="D435" s="3" t="s">
        <v>2265</v>
      </c>
      <c r="E435" s="3" t="s">
        <v>1801</v>
      </c>
      <c r="F435" s="3" t="s">
        <v>2266</v>
      </c>
      <c r="G435" s="3" t="s">
        <v>2267</v>
      </c>
      <c r="H435" s="3" t="s">
        <v>47</v>
      </c>
      <c r="I435">
        <f t="shared" si="12"/>
        <v>2469.5300000000002</v>
      </c>
      <c r="J435">
        <f t="shared" si="13"/>
        <v>-2469.5300000000002</v>
      </c>
    </row>
    <row r="436" spans="1:10" ht="15" customHeight="1" x14ac:dyDescent="0.2">
      <c r="A436" s="4" t="s">
        <v>2268</v>
      </c>
      <c r="B436" s="4" t="s">
        <v>2269</v>
      </c>
      <c r="C436" s="4" t="s">
        <v>2270</v>
      </c>
      <c r="D436" s="4" t="s">
        <v>2271</v>
      </c>
      <c r="E436" s="4" t="s">
        <v>47</v>
      </c>
      <c r="F436" s="4" t="s">
        <v>2272</v>
      </c>
      <c r="G436" s="4" t="s">
        <v>2273</v>
      </c>
      <c r="H436" s="4" t="s">
        <v>47</v>
      </c>
      <c r="I436">
        <f t="shared" si="12"/>
        <v>4895.09</v>
      </c>
      <c r="J436">
        <f t="shared" si="13"/>
        <v>-4895.09</v>
      </c>
    </row>
    <row r="437" spans="1:10" ht="15" customHeight="1" x14ac:dyDescent="0.2">
      <c r="A437" s="3" t="s">
        <v>2274</v>
      </c>
      <c r="B437" s="3" t="s">
        <v>2275</v>
      </c>
      <c r="C437" s="3" t="s">
        <v>2276</v>
      </c>
      <c r="D437" s="3" t="s">
        <v>2277</v>
      </c>
      <c r="E437" s="3" t="s">
        <v>2278</v>
      </c>
      <c r="F437" s="3" t="s">
        <v>2279</v>
      </c>
      <c r="G437" s="3" t="s">
        <v>2278</v>
      </c>
      <c r="H437" s="3" t="s">
        <v>47</v>
      </c>
      <c r="I437">
        <f t="shared" si="12"/>
        <v>7384.78</v>
      </c>
      <c r="J437">
        <f t="shared" si="13"/>
        <v>-7384.78</v>
      </c>
    </row>
    <row r="438" spans="1:10" ht="15" customHeight="1" x14ac:dyDescent="0.2">
      <c r="A438" s="4" t="s">
        <v>2280</v>
      </c>
      <c r="B438" s="4" t="s">
        <v>2281</v>
      </c>
      <c r="C438" s="4" t="s">
        <v>2282</v>
      </c>
      <c r="D438" s="4" t="s">
        <v>2283</v>
      </c>
      <c r="E438" s="4" t="s">
        <v>47</v>
      </c>
      <c r="F438" s="4" t="s">
        <v>47</v>
      </c>
      <c r="G438" s="4" t="s">
        <v>2284</v>
      </c>
      <c r="H438" s="4" t="s">
        <v>47</v>
      </c>
      <c r="I438">
        <f t="shared" si="12"/>
        <v>4506.1000000000004</v>
      </c>
      <c r="J438">
        <f t="shared" si="13"/>
        <v>-4506.1000000000004</v>
      </c>
    </row>
    <row r="439" spans="1:10" ht="15" customHeight="1" x14ac:dyDescent="0.2">
      <c r="A439" s="3" t="s">
        <v>2285</v>
      </c>
      <c r="B439" s="3" t="s">
        <v>2286</v>
      </c>
      <c r="C439" s="3" t="s">
        <v>2287</v>
      </c>
      <c r="D439" s="3" t="s">
        <v>2288</v>
      </c>
      <c r="E439" s="3" t="s">
        <v>47</v>
      </c>
      <c r="F439" s="3" t="s">
        <v>47</v>
      </c>
      <c r="G439" s="3" t="s">
        <v>2289</v>
      </c>
      <c r="H439" s="3" t="s">
        <v>47</v>
      </c>
      <c r="I439">
        <f t="shared" si="12"/>
        <v>5564.66</v>
      </c>
      <c r="J439">
        <f t="shared" si="13"/>
        <v>-5564.66</v>
      </c>
    </row>
    <row r="440" spans="1:10" ht="15" customHeight="1" x14ac:dyDescent="0.2">
      <c r="A440" s="4" t="s">
        <v>2290</v>
      </c>
      <c r="B440" s="4" t="s">
        <v>2291</v>
      </c>
      <c r="C440" s="4" t="s">
        <v>2292</v>
      </c>
      <c r="D440" s="4" t="s">
        <v>2293</v>
      </c>
      <c r="E440" s="4" t="s">
        <v>47</v>
      </c>
      <c r="F440" s="4" t="s">
        <v>47</v>
      </c>
      <c r="G440" s="4" t="s">
        <v>2294</v>
      </c>
      <c r="H440" s="4" t="s">
        <v>47</v>
      </c>
      <c r="I440">
        <f t="shared" si="12"/>
        <v>8486.16</v>
      </c>
      <c r="J440">
        <f t="shared" si="13"/>
        <v>-8486.16</v>
      </c>
    </row>
    <row r="441" spans="1:10" ht="15" customHeight="1" x14ac:dyDescent="0.2">
      <c r="A441" s="3" t="s">
        <v>2295</v>
      </c>
      <c r="B441" s="3" t="s">
        <v>2296</v>
      </c>
      <c r="C441" s="3" t="s">
        <v>47</v>
      </c>
      <c r="D441" s="3" t="s">
        <v>47</v>
      </c>
      <c r="E441" s="3" t="s">
        <v>2297</v>
      </c>
      <c r="F441" s="3" t="s">
        <v>2297</v>
      </c>
      <c r="G441" s="3" t="s">
        <v>47</v>
      </c>
      <c r="H441" s="3" t="s">
        <v>47</v>
      </c>
      <c r="I441">
        <f t="shared" si="12"/>
        <v>0</v>
      </c>
      <c r="J441">
        <f t="shared" si="13"/>
        <v>0</v>
      </c>
    </row>
    <row r="442" spans="1:10" ht="15" customHeight="1" x14ac:dyDescent="0.2">
      <c r="A442" s="4" t="s">
        <v>2298</v>
      </c>
      <c r="B442" s="4" t="s">
        <v>2299</v>
      </c>
      <c r="C442" s="4" t="s">
        <v>47</v>
      </c>
      <c r="D442" s="4" t="s">
        <v>47</v>
      </c>
      <c r="E442" s="4" t="s">
        <v>2300</v>
      </c>
      <c r="F442" s="4" t="s">
        <v>2301</v>
      </c>
      <c r="G442" s="4" t="s">
        <v>1031</v>
      </c>
      <c r="H442" s="4" t="s">
        <v>47</v>
      </c>
      <c r="I442">
        <f t="shared" si="12"/>
        <v>6000</v>
      </c>
      <c r="J442">
        <f t="shared" si="13"/>
        <v>-6000</v>
      </c>
    </row>
    <row r="443" spans="1:10" ht="15" customHeight="1" x14ac:dyDescent="0.2">
      <c r="A443" s="3" t="s">
        <v>2302</v>
      </c>
      <c r="B443" s="3" t="s">
        <v>2303</v>
      </c>
      <c r="C443" s="3" t="s">
        <v>2304</v>
      </c>
      <c r="D443" s="3" t="s">
        <v>47</v>
      </c>
      <c r="E443" s="3" t="s">
        <v>47</v>
      </c>
      <c r="F443" s="3" t="s">
        <v>2305</v>
      </c>
      <c r="G443" s="3" t="s">
        <v>2306</v>
      </c>
      <c r="H443" s="3" t="s">
        <v>47</v>
      </c>
      <c r="I443">
        <f t="shared" si="12"/>
        <v>1388.32</v>
      </c>
      <c r="J443">
        <f t="shared" si="13"/>
        <v>-1388.32</v>
      </c>
    </row>
    <row r="444" spans="1:10" ht="15" customHeight="1" x14ac:dyDescent="0.2">
      <c r="A444" s="4" t="s">
        <v>2307</v>
      </c>
      <c r="B444" s="4" t="s">
        <v>2308</v>
      </c>
      <c r="C444" s="4" t="s">
        <v>2309</v>
      </c>
      <c r="D444" s="4" t="s">
        <v>2310</v>
      </c>
      <c r="E444" s="4" t="s">
        <v>47</v>
      </c>
      <c r="F444" s="4" t="s">
        <v>47</v>
      </c>
      <c r="G444" s="4" t="s">
        <v>2311</v>
      </c>
      <c r="H444" s="4" t="s">
        <v>47</v>
      </c>
      <c r="I444">
        <f t="shared" si="12"/>
        <v>38229.879999999997</v>
      </c>
      <c r="J444">
        <f t="shared" si="13"/>
        <v>-38229.879999999997</v>
      </c>
    </row>
    <row r="445" spans="1:10" ht="15" customHeight="1" x14ac:dyDescent="0.2">
      <c r="A445" s="3" t="s">
        <v>2312</v>
      </c>
      <c r="B445" s="3" t="s">
        <v>2313</v>
      </c>
      <c r="C445" s="3" t="s">
        <v>2314</v>
      </c>
      <c r="D445" s="3" t="s">
        <v>2315</v>
      </c>
      <c r="E445" s="3" t="s">
        <v>47</v>
      </c>
      <c r="F445" s="3" t="s">
        <v>2316</v>
      </c>
      <c r="G445" s="3" t="s">
        <v>47</v>
      </c>
      <c r="H445" s="3" t="s">
        <v>47</v>
      </c>
      <c r="I445">
        <f t="shared" si="12"/>
        <v>0</v>
      </c>
      <c r="J445">
        <f t="shared" si="13"/>
        <v>0</v>
      </c>
    </row>
    <row r="446" spans="1:10" ht="15" customHeight="1" x14ac:dyDescent="0.2">
      <c r="A446" s="4" t="s">
        <v>2317</v>
      </c>
      <c r="B446" s="4" t="s">
        <v>2318</v>
      </c>
      <c r="C446" s="4" t="s">
        <v>2319</v>
      </c>
      <c r="D446" s="4" t="s">
        <v>47</v>
      </c>
      <c r="E446" s="4" t="s">
        <v>47</v>
      </c>
      <c r="F446" s="4" t="s">
        <v>47</v>
      </c>
      <c r="G446" s="4" t="s">
        <v>2319</v>
      </c>
      <c r="H446" s="4" t="s">
        <v>47</v>
      </c>
      <c r="I446">
        <f t="shared" si="12"/>
        <v>14080</v>
      </c>
      <c r="J446">
        <f t="shared" si="13"/>
        <v>-14080</v>
      </c>
    </row>
    <row r="447" spans="1:10" ht="15" customHeight="1" x14ac:dyDescent="0.2">
      <c r="A447" s="3" t="s">
        <v>2320</v>
      </c>
      <c r="B447" s="3" t="s">
        <v>2321</v>
      </c>
      <c r="C447" s="3" t="s">
        <v>2322</v>
      </c>
      <c r="D447" s="3" t="s">
        <v>2323</v>
      </c>
      <c r="E447" s="3" t="s">
        <v>47</v>
      </c>
      <c r="F447" s="3" t="s">
        <v>47</v>
      </c>
      <c r="G447" s="3" t="s">
        <v>2323</v>
      </c>
      <c r="H447" s="3" t="s">
        <v>47</v>
      </c>
      <c r="I447">
        <f t="shared" si="12"/>
        <v>5986.19</v>
      </c>
      <c r="J447">
        <f t="shared" si="13"/>
        <v>-5986.19</v>
      </c>
    </row>
    <row r="448" spans="1:10" ht="15" customHeight="1" x14ac:dyDescent="0.2">
      <c r="A448" s="4" t="s">
        <v>2324</v>
      </c>
      <c r="B448" s="4" t="s">
        <v>2325</v>
      </c>
      <c r="C448" s="4" t="s">
        <v>2326</v>
      </c>
      <c r="D448" s="4" t="s">
        <v>2327</v>
      </c>
      <c r="E448" s="4" t="s">
        <v>47</v>
      </c>
      <c r="F448" s="4" t="s">
        <v>2328</v>
      </c>
      <c r="G448" s="4" t="s">
        <v>2329</v>
      </c>
      <c r="H448" s="4" t="s">
        <v>47</v>
      </c>
      <c r="I448">
        <f t="shared" si="12"/>
        <v>2017.29</v>
      </c>
      <c r="J448">
        <f t="shared" si="13"/>
        <v>-2017.29</v>
      </c>
    </row>
    <row r="449" spans="1:10" ht="15" customHeight="1" x14ac:dyDescent="0.2">
      <c r="A449" s="3" t="s">
        <v>2330</v>
      </c>
      <c r="B449" s="3" t="s">
        <v>2331</v>
      </c>
      <c r="C449" s="3" t="s">
        <v>2332</v>
      </c>
      <c r="D449" s="3" t="s">
        <v>47</v>
      </c>
      <c r="E449" s="3" t="s">
        <v>47</v>
      </c>
      <c r="F449" s="3" t="s">
        <v>47</v>
      </c>
      <c r="G449" s="3" t="s">
        <v>2332</v>
      </c>
      <c r="H449" s="3" t="s">
        <v>47</v>
      </c>
      <c r="I449">
        <f t="shared" si="12"/>
        <v>1090.29</v>
      </c>
      <c r="J449">
        <f t="shared" si="13"/>
        <v>-1090.29</v>
      </c>
    </row>
    <row r="450" spans="1:10" ht="15" customHeight="1" x14ac:dyDescent="0.2">
      <c r="A450" s="4" t="s">
        <v>2333</v>
      </c>
      <c r="B450" s="4" t="s">
        <v>2334</v>
      </c>
      <c r="C450" s="4" t="s">
        <v>2335</v>
      </c>
      <c r="D450" s="4" t="s">
        <v>2336</v>
      </c>
      <c r="E450" s="4" t="s">
        <v>47</v>
      </c>
      <c r="F450" s="4" t="s">
        <v>47</v>
      </c>
      <c r="G450" s="4" t="s">
        <v>2337</v>
      </c>
      <c r="H450" s="4" t="s">
        <v>47</v>
      </c>
      <c r="I450">
        <f t="shared" si="12"/>
        <v>1734.91</v>
      </c>
      <c r="J450">
        <f t="shared" si="13"/>
        <v>-1734.91</v>
      </c>
    </row>
    <row r="451" spans="1:10" ht="15" customHeight="1" x14ac:dyDescent="0.2">
      <c r="A451" s="3" t="s">
        <v>2338</v>
      </c>
      <c r="B451" s="3" t="s">
        <v>2339</v>
      </c>
      <c r="C451" s="3" t="s">
        <v>2340</v>
      </c>
      <c r="D451" s="3" t="s">
        <v>2341</v>
      </c>
      <c r="E451" s="3" t="s">
        <v>47</v>
      </c>
      <c r="F451" s="3" t="s">
        <v>47</v>
      </c>
      <c r="G451" s="3" t="s">
        <v>2342</v>
      </c>
      <c r="H451" s="3" t="s">
        <v>47</v>
      </c>
      <c r="I451">
        <f t="shared" si="12"/>
        <v>1033.8</v>
      </c>
      <c r="J451">
        <f t="shared" si="13"/>
        <v>-1033.8</v>
      </c>
    </row>
    <row r="452" spans="1:10" ht="15" customHeight="1" x14ac:dyDescent="0.2">
      <c r="A452" s="4" t="s">
        <v>2343</v>
      </c>
      <c r="B452" s="4" t="s">
        <v>2344</v>
      </c>
      <c r="C452" s="4" t="s">
        <v>2345</v>
      </c>
      <c r="D452" s="4" t="s">
        <v>2346</v>
      </c>
      <c r="E452" s="4" t="s">
        <v>47</v>
      </c>
      <c r="F452" s="4" t="s">
        <v>47</v>
      </c>
      <c r="G452" s="4" t="s">
        <v>2347</v>
      </c>
      <c r="H452" s="4" t="s">
        <v>47</v>
      </c>
      <c r="I452">
        <f t="shared" ref="I452:I515" si="14">IF(MID(A452,1,1)="1",G452-H452,IF(MID(A452,1,1)="2",H452-G452,"VERIFICAR"))</f>
        <v>3226.89</v>
      </c>
      <c r="J452">
        <f t="shared" ref="J452:J515" si="15">IF(MID(A452,1,1)="1",H452-I452,IF(MID(B452,1,1)="2",I452-H452,IF(MID(A452,1,1)="3",F452-E452,IF(MID(A452,1,1)="4",E452-F452,"VERIFICAR"))))</f>
        <v>-3226.89</v>
      </c>
    </row>
    <row r="453" spans="1:10" ht="15" customHeight="1" x14ac:dyDescent="0.2">
      <c r="A453" s="3" t="s">
        <v>2348</v>
      </c>
      <c r="B453" s="3" t="s">
        <v>2349</v>
      </c>
      <c r="C453" s="3" t="s">
        <v>2350</v>
      </c>
      <c r="D453" s="3" t="s">
        <v>2351</v>
      </c>
      <c r="E453" s="3" t="s">
        <v>1032</v>
      </c>
      <c r="F453" s="3" t="s">
        <v>2352</v>
      </c>
      <c r="G453" s="3" t="s">
        <v>2353</v>
      </c>
      <c r="H453" s="3" t="s">
        <v>47</v>
      </c>
      <c r="I453">
        <f t="shared" si="14"/>
        <v>20000.02</v>
      </c>
      <c r="J453">
        <f t="shared" si="15"/>
        <v>-20000.02</v>
      </c>
    </row>
    <row r="454" spans="1:10" ht="15" customHeight="1" x14ac:dyDescent="0.2">
      <c r="A454" s="4" t="s">
        <v>2354</v>
      </c>
      <c r="B454" s="4" t="s">
        <v>2355</v>
      </c>
      <c r="C454" s="4" t="s">
        <v>2356</v>
      </c>
      <c r="D454" s="4" t="s">
        <v>47</v>
      </c>
      <c r="E454" s="4" t="s">
        <v>47</v>
      </c>
      <c r="F454" s="4" t="s">
        <v>2357</v>
      </c>
      <c r="G454" s="4" t="s">
        <v>2358</v>
      </c>
      <c r="H454" s="4" t="s">
        <v>47</v>
      </c>
      <c r="I454">
        <f t="shared" si="14"/>
        <v>4250.01</v>
      </c>
      <c r="J454">
        <f t="shared" si="15"/>
        <v>-4250.01</v>
      </c>
    </row>
    <row r="455" spans="1:10" ht="15" customHeight="1" x14ac:dyDescent="0.2">
      <c r="A455" s="3" t="s">
        <v>2359</v>
      </c>
      <c r="B455" s="3" t="s">
        <v>2360</v>
      </c>
      <c r="C455" s="3" t="s">
        <v>2361</v>
      </c>
      <c r="D455" s="3" t="s">
        <v>2362</v>
      </c>
      <c r="E455" s="3" t="s">
        <v>47</v>
      </c>
      <c r="F455" s="3" t="s">
        <v>2363</v>
      </c>
      <c r="G455" s="3" t="s">
        <v>2363</v>
      </c>
      <c r="H455" s="3" t="s">
        <v>47</v>
      </c>
      <c r="I455">
        <f t="shared" si="14"/>
        <v>2689.6</v>
      </c>
      <c r="J455">
        <f t="shared" si="15"/>
        <v>-2689.6</v>
      </c>
    </row>
    <row r="456" spans="1:10" ht="15" customHeight="1" x14ac:dyDescent="0.2">
      <c r="A456" s="4" t="s">
        <v>2364</v>
      </c>
      <c r="B456" s="4" t="s">
        <v>2365</v>
      </c>
      <c r="C456" s="4" t="s">
        <v>2366</v>
      </c>
      <c r="D456" s="4" t="s">
        <v>2367</v>
      </c>
      <c r="E456" s="4" t="s">
        <v>47</v>
      </c>
      <c r="F456" s="4" t="s">
        <v>47</v>
      </c>
      <c r="G456" s="4" t="s">
        <v>2368</v>
      </c>
      <c r="H456" s="4" t="s">
        <v>47</v>
      </c>
      <c r="I456">
        <f t="shared" si="14"/>
        <v>1949.27</v>
      </c>
      <c r="J456">
        <f t="shared" si="15"/>
        <v>-1949.27</v>
      </c>
    </row>
    <row r="457" spans="1:10" ht="15" customHeight="1" x14ac:dyDescent="0.2">
      <c r="A457" s="3" t="s">
        <v>2369</v>
      </c>
      <c r="B457" s="3" t="s">
        <v>2370</v>
      </c>
      <c r="C457" s="3" t="s">
        <v>2371</v>
      </c>
      <c r="D457" s="3" t="s">
        <v>2372</v>
      </c>
      <c r="E457" s="3" t="s">
        <v>47</v>
      </c>
      <c r="F457" s="3" t="s">
        <v>47</v>
      </c>
      <c r="G457" s="3" t="s">
        <v>2373</v>
      </c>
      <c r="H457" s="3" t="s">
        <v>47</v>
      </c>
      <c r="I457">
        <f t="shared" si="14"/>
        <v>2664.88</v>
      </c>
      <c r="J457">
        <f t="shared" si="15"/>
        <v>-2664.88</v>
      </c>
    </row>
    <row r="458" spans="1:10" ht="15" customHeight="1" x14ac:dyDescent="0.2">
      <c r="A458" s="4" t="s">
        <v>2374</v>
      </c>
      <c r="B458" s="4" t="s">
        <v>2375</v>
      </c>
      <c r="C458" s="4" t="s">
        <v>2376</v>
      </c>
      <c r="D458" s="4" t="s">
        <v>2377</v>
      </c>
      <c r="E458" s="4" t="s">
        <v>47</v>
      </c>
      <c r="F458" s="4" t="s">
        <v>2378</v>
      </c>
      <c r="G458" s="4" t="s">
        <v>2379</v>
      </c>
      <c r="H458" s="4" t="s">
        <v>47</v>
      </c>
      <c r="I458">
        <f t="shared" si="14"/>
        <v>8589.9500000000007</v>
      </c>
      <c r="J458">
        <f t="shared" si="15"/>
        <v>-8589.9500000000007</v>
      </c>
    </row>
    <row r="459" spans="1:10" ht="15" customHeight="1" x14ac:dyDescent="0.2">
      <c r="A459" s="3" t="s">
        <v>2380</v>
      </c>
      <c r="B459" s="3" t="s">
        <v>2381</v>
      </c>
      <c r="C459" s="3" t="s">
        <v>2382</v>
      </c>
      <c r="D459" s="3" t="s">
        <v>47</v>
      </c>
      <c r="E459" s="3" t="s">
        <v>47</v>
      </c>
      <c r="F459" s="3" t="s">
        <v>2383</v>
      </c>
      <c r="G459" s="3" t="s">
        <v>2384</v>
      </c>
      <c r="H459" s="3" t="s">
        <v>47</v>
      </c>
      <c r="I459">
        <f t="shared" si="14"/>
        <v>4791.05</v>
      </c>
      <c r="J459">
        <f t="shared" si="15"/>
        <v>-4791.05</v>
      </c>
    </row>
    <row r="460" spans="1:10" ht="15" customHeight="1" x14ac:dyDescent="0.2">
      <c r="A460" s="4" t="s">
        <v>2385</v>
      </c>
      <c r="B460" s="4" t="s">
        <v>2386</v>
      </c>
      <c r="C460" s="4" t="s">
        <v>2387</v>
      </c>
      <c r="D460" s="4" t="s">
        <v>2388</v>
      </c>
      <c r="E460" s="4" t="s">
        <v>2389</v>
      </c>
      <c r="F460" s="4" t="s">
        <v>2390</v>
      </c>
      <c r="G460" s="4" t="s">
        <v>2391</v>
      </c>
      <c r="H460" s="4" t="s">
        <v>47</v>
      </c>
      <c r="I460">
        <f t="shared" si="14"/>
        <v>1966.24</v>
      </c>
      <c r="J460">
        <f t="shared" si="15"/>
        <v>-1966.24</v>
      </c>
    </row>
    <row r="461" spans="1:10" ht="15" customHeight="1" x14ac:dyDescent="0.2">
      <c r="A461" s="3" t="s">
        <v>2392</v>
      </c>
      <c r="B461" s="3" t="s">
        <v>2393</v>
      </c>
      <c r="C461" s="3" t="s">
        <v>2394</v>
      </c>
      <c r="D461" s="3" t="s">
        <v>2395</v>
      </c>
      <c r="E461" s="3" t="s">
        <v>2396</v>
      </c>
      <c r="F461" s="3" t="s">
        <v>2396</v>
      </c>
      <c r="G461" s="3" t="s">
        <v>2397</v>
      </c>
      <c r="H461" s="3" t="s">
        <v>47</v>
      </c>
      <c r="I461">
        <f t="shared" si="14"/>
        <v>38.4</v>
      </c>
      <c r="J461">
        <f t="shared" si="15"/>
        <v>-38.4</v>
      </c>
    </row>
    <row r="462" spans="1:10" ht="15" customHeight="1" x14ac:dyDescent="0.2">
      <c r="A462" s="4" t="s">
        <v>2398</v>
      </c>
      <c r="B462" s="4" t="s">
        <v>2399</v>
      </c>
      <c r="C462" s="4" t="s">
        <v>2400</v>
      </c>
      <c r="D462" s="4" t="s">
        <v>2400</v>
      </c>
      <c r="E462" s="4" t="s">
        <v>1573</v>
      </c>
      <c r="F462" s="4" t="s">
        <v>47</v>
      </c>
      <c r="G462" s="4" t="s">
        <v>1573</v>
      </c>
      <c r="H462" s="4" t="s">
        <v>47</v>
      </c>
      <c r="I462">
        <f t="shared" si="14"/>
        <v>336.34</v>
      </c>
      <c r="J462">
        <f t="shared" si="15"/>
        <v>-336.34</v>
      </c>
    </row>
    <row r="463" spans="1:10" ht="15" customHeight="1" x14ac:dyDescent="0.2">
      <c r="A463" s="3" t="s">
        <v>2401</v>
      </c>
      <c r="B463" s="3" t="s">
        <v>2402</v>
      </c>
      <c r="C463" s="3" t="s">
        <v>47</v>
      </c>
      <c r="D463" s="3" t="s">
        <v>47</v>
      </c>
      <c r="E463" s="3" t="s">
        <v>2403</v>
      </c>
      <c r="F463" s="3" t="s">
        <v>47</v>
      </c>
      <c r="G463" s="3" t="s">
        <v>2403</v>
      </c>
      <c r="H463" s="3" t="s">
        <v>47</v>
      </c>
      <c r="I463">
        <f t="shared" si="14"/>
        <v>394.33</v>
      </c>
      <c r="J463">
        <f t="shared" si="15"/>
        <v>-394.33</v>
      </c>
    </row>
    <row r="464" spans="1:10" ht="15" customHeight="1" x14ac:dyDescent="0.2">
      <c r="A464" s="4" t="s">
        <v>2404</v>
      </c>
      <c r="B464" s="4" t="s">
        <v>2405</v>
      </c>
      <c r="C464" s="4" t="s">
        <v>2406</v>
      </c>
      <c r="D464" s="4" t="s">
        <v>2406</v>
      </c>
      <c r="E464" s="4" t="s">
        <v>2157</v>
      </c>
      <c r="F464" s="4" t="s">
        <v>2157</v>
      </c>
      <c r="G464" s="4" t="s">
        <v>47</v>
      </c>
      <c r="H464" s="4" t="s">
        <v>47</v>
      </c>
      <c r="I464">
        <f t="shared" si="14"/>
        <v>0</v>
      </c>
      <c r="J464">
        <f t="shared" si="15"/>
        <v>0</v>
      </c>
    </row>
    <row r="465" spans="1:10" ht="15" customHeight="1" x14ac:dyDescent="0.2">
      <c r="A465" s="3" t="s">
        <v>2407</v>
      </c>
      <c r="B465" s="3" t="s">
        <v>2408</v>
      </c>
      <c r="C465" s="3" t="s">
        <v>2409</v>
      </c>
      <c r="D465" s="3" t="s">
        <v>2410</v>
      </c>
      <c r="E465" s="3" t="s">
        <v>47</v>
      </c>
      <c r="F465" s="3" t="s">
        <v>2411</v>
      </c>
      <c r="G465" s="3" t="s">
        <v>2412</v>
      </c>
      <c r="H465" s="3" t="s">
        <v>47</v>
      </c>
      <c r="I465">
        <f t="shared" si="14"/>
        <v>700</v>
      </c>
      <c r="J465">
        <f t="shared" si="15"/>
        <v>-700</v>
      </c>
    </row>
    <row r="466" spans="1:10" ht="15" customHeight="1" x14ac:dyDescent="0.2">
      <c r="A466" s="4" t="s">
        <v>2413</v>
      </c>
      <c r="B466" s="4" t="s">
        <v>2414</v>
      </c>
      <c r="C466" s="4" t="s">
        <v>2415</v>
      </c>
      <c r="D466" s="4" t="s">
        <v>2416</v>
      </c>
      <c r="E466" s="4" t="s">
        <v>47</v>
      </c>
      <c r="F466" s="4" t="s">
        <v>2417</v>
      </c>
      <c r="G466" s="4" t="s">
        <v>2418</v>
      </c>
      <c r="H466" s="4" t="s">
        <v>47</v>
      </c>
      <c r="I466">
        <f t="shared" si="14"/>
        <v>1309.8499999999999</v>
      </c>
      <c r="J466">
        <f t="shared" si="15"/>
        <v>-1309.8499999999999</v>
      </c>
    </row>
    <row r="467" spans="1:10" ht="15" customHeight="1" x14ac:dyDescent="0.2">
      <c r="A467" s="3" t="s">
        <v>2419</v>
      </c>
      <c r="B467" s="3" t="s">
        <v>2420</v>
      </c>
      <c r="C467" s="3" t="s">
        <v>2421</v>
      </c>
      <c r="D467" s="3" t="s">
        <v>2422</v>
      </c>
      <c r="E467" s="3" t="s">
        <v>2130</v>
      </c>
      <c r="F467" s="3" t="s">
        <v>2423</v>
      </c>
      <c r="G467" s="3" t="s">
        <v>2424</v>
      </c>
      <c r="H467" s="3" t="s">
        <v>47</v>
      </c>
      <c r="I467">
        <f t="shared" si="14"/>
        <v>40758.959999999999</v>
      </c>
      <c r="J467">
        <f t="shared" si="15"/>
        <v>-40758.959999999999</v>
      </c>
    </row>
    <row r="468" spans="1:10" ht="15" customHeight="1" x14ac:dyDescent="0.2">
      <c r="A468" s="4" t="s">
        <v>2425</v>
      </c>
      <c r="B468" s="4" t="s">
        <v>2426</v>
      </c>
      <c r="C468" s="4" t="s">
        <v>2427</v>
      </c>
      <c r="D468" s="4" t="s">
        <v>1643</v>
      </c>
      <c r="E468" s="4" t="s">
        <v>47</v>
      </c>
      <c r="F468" s="4" t="s">
        <v>47</v>
      </c>
      <c r="G468" s="4" t="s">
        <v>1643</v>
      </c>
      <c r="H468" s="4" t="s">
        <v>47</v>
      </c>
      <c r="I468">
        <f t="shared" si="14"/>
        <v>1100</v>
      </c>
      <c r="J468">
        <f t="shared" si="15"/>
        <v>-1100</v>
      </c>
    </row>
    <row r="469" spans="1:10" ht="15" customHeight="1" x14ac:dyDescent="0.2">
      <c r="A469" s="3" t="s">
        <v>2428</v>
      </c>
      <c r="B469" s="3" t="s">
        <v>2429</v>
      </c>
      <c r="C469" s="3" t="s">
        <v>2430</v>
      </c>
      <c r="D469" s="3" t="s">
        <v>2431</v>
      </c>
      <c r="E469" s="3" t="s">
        <v>47</v>
      </c>
      <c r="F469" s="3" t="s">
        <v>47</v>
      </c>
      <c r="G469" s="3" t="s">
        <v>2432</v>
      </c>
      <c r="H469" s="3" t="s">
        <v>47</v>
      </c>
      <c r="I469">
        <f t="shared" si="14"/>
        <v>8024.74</v>
      </c>
      <c r="J469">
        <f t="shared" si="15"/>
        <v>-8024.74</v>
      </c>
    </row>
    <row r="470" spans="1:10" ht="15" customHeight="1" x14ac:dyDescent="0.2">
      <c r="A470" s="4" t="s">
        <v>2433</v>
      </c>
      <c r="B470" s="4" t="s">
        <v>2434</v>
      </c>
      <c r="C470" s="4" t="s">
        <v>2435</v>
      </c>
      <c r="D470" s="4" t="s">
        <v>2436</v>
      </c>
      <c r="E470" s="4" t="s">
        <v>47</v>
      </c>
      <c r="F470" s="4" t="s">
        <v>2437</v>
      </c>
      <c r="G470" s="4" t="s">
        <v>47</v>
      </c>
      <c r="H470" s="4" t="s">
        <v>47</v>
      </c>
      <c r="I470">
        <f t="shared" si="14"/>
        <v>0</v>
      </c>
      <c r="J470">
        <f t="shared" si="15"/>
        <v>0</v>
      </c>
    </row>
    <row r="471" spans="1:10" ht="15" customHeight="1" x14ac:dyDescent="0.2">
      <c r="A471" s="3" t="s">
        <v>2438</v>
      </c>
      <c r="B471" s="3" t="s">
        <v>2439</v>
      </c>
      <c r="C471" s="3" t="s">
        <v>2072</v>
      </c>
      <c r="D471" s="3" t="s">
        <v>2440</v>
      </c>
      <c r="E471" s="3" t="s">
        <v>47</v>
      </c>
      <c r="F471" s="3" t="s">
        <v>2441</v>
      </c>
      <c r="G471" s="3" t="s">
        <v>2442</v>
      </c>
      <c r="H471" s="3" t="s">
        <v>47</v>
      </c>
      <c r="I471">
        <f t="shared" si="14"/>
        <v>13125</v>
      </c>
      <c r="J471">
        <f t="shared" si="15"/>
        <v>-13125</v>
      </c>
    </row>
    <row r="472" spans="1:10" ht="15" customHeight="1" x14ac:dyDescent="0.2">
      <c r="A472" s="4" t="s">
        <v>2443</v>
      </c>
      <c r="B472" s="4" t="s">
        <v>2444</v>
      </c>
      <c r="C472" s="4" t="s">
        <v>2445</v>
      </c>
      <c r="D472" s="4" t="s">
        <v>2446</v>
      </c>
      <c r="E472" s="4" t="s">
        <v>2447</v>
      </c>
      <c r="F472" s="4" t="s">
        <v>2448</v>
      </c>
      <c r="G472" s="4" t="s">
        <v>2447</v>
      </c>
      <c r="H472" s="4" t="s">
        <v>47</v>
      </c>
      <c r="I472">
        <f t="shared" si="14"/>
        <v>188.94</v>
      </c>
      <c r="J472">
        <f t="shared" si="15"/>
        <v>-188.94</v>
      </c>
    </row>
    <row r="473" spans="1:10" ht="15" customHeight="1" x14ac:dyDescent="0.2">
      <c r="A473" s="3" t="s">
        <v>2449</v>
      </c>
      <c r="B473" s="3" t="s">
        <v>2450</v>
      </c>
      <c r="C473" s="3" t="s">
        <v>47</v>
      </c>
      <c r="D473" s="3" t="s">
        <v>47</v>
      </c>
      <c r="E473" s="3" t="s">
        <v>2451</v>
      </c>
      <c r="F473" s="3" t="s">
        <v>2452</v>
      </c>
      <c r="G473" s="3" t="s">
        <v>2453</v>
      </c>
      <c r="H473" s="3" t="s">
        <v>47</v>
      </c>
      <c r="I473">
        <f t="shared" si="14"/>
        <v>8570.26</v>
      </c>
      <c r="J473">
        <f t="shared" si="15"/>
        <v>-8570.26</v>
      </c>
    </row>
    <row r="474" spans="1:10" ht="15" customHeight="1" x14ac:dyDescent="0.2">
      <c r="A474" s="4" t="s">
        <v>2454</v>
      </c>
      <c r="B474" s="4" t="s">
        <v>2455</v>
      </c>
      <c r="C474" s="4" t="s">
        <v>2456</v>
      </c>
      <c r="D474" s="4" t="s">
        <v>2457</v>
      </c>
      <c r="E474" s="4" t="s">
        <v>47</v>
      </c>
      <c r="F474" s="4" t="s">
        <v>2458</v>
      </c>
      <c r="G474" s="4" t="s">
        <v>2459</v>
      </c>
      <c r="H474" s="4" t="s">
        <v>47</v>
      </c>
      <c r="I474">
        <f t="shared" si="14"/>
        <v>12700</v>
      </c>
      <c r="J474">
        <f t="shared" si="15"/>
        <v>-12700</v>
      </c>
    </row>
    <row r="475" spans="1:10" ht="15" customHeight="1" x14ac:dyDescent="0.2">
      <c r="A475" s="3" t="s">
        <v>2460</v>
      </c>
      <c r="B475" s="3" t="s">
        <v>2461</v>
      </c>
      <c r="C475" s="3" t="s">
        <v>2462</v>
      </c>
      <c r="D475" s="3" t="s">
        <v>2463</v>
      </c>
      <c r="E475" s="3" t="s">
        <v>47</v>
      </c>
      <c r="F475" s="3" t="s">
        <v>2464</v>
      </c>
      <c r="G475" s="3" t="s">
        <v>47</v>
      </c>
      <c r="H475" s="3" t="s">
        <v>47</v>
      </c>
      <c r="I475">
        <f t="shared" si="14"/>
        <v>0</v>
      </c>
      <c r="J475">
        <f t="shared" si="15"/>
        <v>0</v>
      </c>
    </row>
    <row r="476" spans="1:10" ht="15" customHeight="1" x14ac:dyDescent="0.2">
      <c r="A476" s="4" t="s">
        <v>2465</v>
      </c>
      <c r="B476" s="4" t="s">
        <v>2466</v>
      </c>
      <c r="C476" s="4" t="s">
        <v>2467</v>
      </c>
      <c r="D476" s="4" t="s">
        <v>2468</v>
      </c>
      <c r="E476" s="4" t="s">
        <v>47</v>
      </c>
      <c r="F476" s="4" t="s">
        <v>2469</v>
      </c>
      <c r="G476" s="4" t="s">
        <v>47</v>
      </c>
      <c r="H476" s="4" t="s">
        <v>47</v>
      </c>
      <c r="I476">
        <f t="shared" si="14"/>
        <v>0</v>
      </c>
      <c r="J476">
        <f t="shared" si="15"/>
        <v>0</v>
      </c>
    </row>
    <row r="477" spans="1:10" ht="15" customHeight="1" x14ac:dyDescent="0.2">
      <c r="A477" s="3" t="s">
        <v>2470</v>
      </c>
      <c r="B477" s="3" t="s">
        <v>2471</v>
      </c>
      <c r="C477" s="3" t="s">
        <v>2472</v>
      </c>
      <c r="D477" s="3" t="s">
        <v>2473</v>
      </c>
      <c r="E477" s="3" t="s">
        <v>47</v>
      </c>
      <c r="F477" s="3" t="s">
        <v>2474</v>
      </c>
      <c r="G477" s="3" t="s">
        <v>2475</v>
      </c>
      <c r="H477" s="3" t="s">
        <v>47</v>
      </c>
      <c r="I477">
        <f t="shared" si="14"/>
        <v>6333.33</v>
      </c>
      <c r="J477">
        <f t="shared" si="15"/>
        <v>-6333.33</v>
      </c>
    </row>
    <row r="478" spans="1:10" ht="15" customHeight="1" x14ac:dyDescent="0.2">
      <c r="A478" s="4" t="s">
        <v>2476</v>
      </c>
      <c r="B478" s="4" t="s">
        <v>2477</v>
      </c>
      <c r="C478" s="4" t="s">
        <v>2478</v>
      </c>
      <c r="D478" s="4" t="s">
        <v>2479</v>
      </c>
      <c r="E478" s="4" t="s">
        <v>47</v>
      </c>
      <c r="F478" s="4" t="s">
        <v>2480</v>
      </c>
      <c r="G478" s="4" t="s">
        <v>47</v>
      </c>
      <c r="H478" s="4" t="s">
        <v>47</v>
      </c>
      <c r="I478">
        <f t="shared" si="14"/>
        <v>0</v>
      </c>
      <c r="J478">
        <f t="shared" si="15"/>
        <v>0</v>
      </c>
    </row>
    <row r="479" spans="1:10" ht="15" customHeight="1" x14ac:dyDescent="0.2">
      <c r="A479" s="3" t="s">
        <v>2481</v>
      </c>
      <c r="B479" s="3" t="s">
        <v>2482</v>
      </c>
      <c r="C479" s="3" t="s">
        <v>2483</v>
      </c>
      <c r="D479" s="3" t="s">
        <v>2484</v>
      </c>
      <c r="E479" s="3" t="s">
        <v>47</v>
      </c>
      <c r="F479" s="3" t="s">
        <v>2485</v>
      </c>
      <c r="G479" s="3" t="s">
        <v>2485</v>
      </c>
      <c r="H479" s="3" t="s">
        <v>47</v>
      </c>
      <c r="I479">
        <f t="shared" si="14"/>
        <v>11399.5</v>
      </c>
      <c r="J479">
        <f t="shared" si="15"/>
        <v>-11399.5</v>
      </c>
    </row>
    <row r="480" spans="1:10" ht="15" customHeight="1" x14ac:dyDescent="0.2">
      <c r="A480" s="4" t="s">
        <v>2486</v>
      </c>
      <c r="B480" s="4" t="s">
        <v>2487</v>
      </c>
      <c r="C480" s="4" t="s">
        <v>2488</v>
      </c>
      <c r="D480" s="4" t="s">
        <v>2489</v>
      </c>
      <c r="E480" s="4" t="s">
        <v>47</v>
      </c>
      <c r="F480" s="4" t="s">
        <v>2490</v>
      </c>
      <c r="G480" s="4" t="s">
        <v>2489</v>
      </c>
      <c r="H480" s="4" t="s">
        <v>47</v>
      </c>
      <c r="I480">
        <f t="shared" si="14"/>
        <v>10152</v>
      </c>
      <c r="J480">
        <f t="shared" si="15"/>
        <v>-10152</v>
      </c>
    </row>
    <row r="481" spans="1:10" ht="15" customHeight="1" x14ac:dyDescent="0.2">
      <c r="A481" s="3" t="s">
        <v>2491</v>
      </c>
      <c r="B481" s="3" t="s">
        <v>2492</v>
      </c>
      <c r="C481" s="3" t="s">
        <v>2493</v>
      </c>
      <c r="D481" s="3" t="s">
        <v>2494</v>
      </c>
      <c r="E481" s="3" t="s">
        <v>47</v>
      </c>
      <c r="F481" s="3" t="s">
        <v>2495</v>
      </c>
      <c r="G481" s="3" t="s">
        <v>47</v>
      </c>
      <c r="H481" s="3" t="s">
        <v>47</v>
      </c>
      <c r="I481">
        <f t="shared" si="14"/>
        <v>0</v>
      </c>
      <c r="J481">
        <f t="shared" si="15"/>
        <v>0</v>
      </c>
    </row>
    <row r="482" spans="1:10" ht="15" customHeight="1" x14ac:dyDescent="0.2">
      <c r="A482" s="4" t="s">
        <v>2496</v>
      </c>
      <c r="B482" s="4" t="s">
        <v>2497</v>
      </c>
      <c r="C482" s="4" t="s">
        <v>2498</v>
      </c>
      <c r="D482" s="4" t="s">
        <v>2499</v>
      </c>
      <c r="E482" s="4" t="s">
        <v>47</v>
      </c>
      <c r="F482" s="4" t="s">
        <v>2500</v>
      </c>
      <c r="G482" s="4" t="s">
        <v>2500</v>
      </c>
      <c r="H482" s="4" t="s">
        <v>47</v>
      </c>
      <c r="I482">
        <f t="shared" si="14"/>
        <v>3375</v>
      </c>
      <c r="J482">
        <f t="shared" si="15"/>
        <v>-3375</v>
      </c>
    </row>
    <row r="483" spans="1:10" ht="15" customHeight="1" x14ac:dyDescent="0.2">
      <c r="A483" s="3" t="s">
        <v>2501</v>
      </c>
      <c r="B483" s="3" t="s">
        <v>2502</v>
      </c>
      <c r="C483" s="3" t="s">
        <v>2503</v>
      </c>
      <c r="D483" s="3" t="s">
        <v>2504</v>
      </c>
      <c r="E483" s="3" t="s">
        <v>47</v>
      </c>
      <c r="F483" s="3" t="s">
        <v>47</v>
      </c>
      <c r="G483" s="3" t="s">
        <v>2505</v>
      </c>
      <c r="H483" s="3" t="s">
        <v>47</v>
      </c>
      <c r="I483">
        <f t="shared" si="14"/>
        <v>23448.01</v>
      </c>
      <c r="J483">
        <f t="shared" si="15"/>
        <v>-23448.01</v>
      </c>
    </row>
    <row r="484" spans="1:10" ht="15" customHeight="1" x14ac:dyDescent="0.2">
      <c r="A484" s="4" t="s">
        <v>2506</v>
      </c>
      <c r="B484" s="4" t="s">
        <v>2507</v>
      </c>
      <c r="C484" s="4" t="s">
        <v>2508</v>
      </c>
      <c r="D484" s="4" t="s">
        <v>2509</v>
      </c>
      <c r="E484" s="4" t="s">
        <v>2510</v>
      </c>
      <c r="F484" s="4" t="s">
        <v>2511</v>
      </c>
      <c r="G484" s="4" t="s">
        <v>47</v>
      </c>
      <c r="H484" s="4" t="s">
        <v>47</v>
      </c>
      <c r="I484">
        <f t="shared" si="14"/>
        <v>0</v>
      </c>
      <c r="J484">
        <f t="shared" si="15"/>
        <v>0</v>
      </c>
    </row>
    <row r="485" spans="1:10" ht="15" customHeight="1" x14ac:dyDescent="0.2">
      <c r="A485" s="3" t="s">
        <v>2512</v>
      </c>
      <c r="B485" s="3" t="s">
        <v>2513</v>
      </c>
      <c r="C485" s="3" t="s">
        <v>2514</v>
      </c>
      <c r="D485" s="3" t="s">
        <v>2515</v>
      </c>
      <c r="E485" s="3" t="s">
        <v>47</v>
      </c>
      <c r="F485" s="3" t="s">
        <v>2515</v>
      </c>
      <c r="G485" s="3" t="s">
        <v>2516</v>
      </c>
      <c r="H485" s="3" t="s">
        <v>47</v>
      </c>
      <c r="I485">
        <f t="shared" si="14"/>
        <v>9987</v>
      </c>
      <c r="J485">
        <f t="shared" si="15"/>
        <v>-9987</v>
      </c>
    </row>
    <row r="486" spans="1:10" ht="15" customHeight="1" x14ac:dyDescent="0.2">
      <c r="A486" s="4" t="s">
        <v>2517</v>
      </c>
      <c r="B486" s="4" t="s">
        <v>2518</v>
      </c>
      <c r="C486" s="4" t="s">
        <v>2519</v>
      </c>
      <c r="D486" s="4" t="s">
        <v>2519</v>
      </c>
      <c r="E486" s="4" t="s">
        <v>2520</v>
      </c>
      <c r="F486" s="4" t="s">
        <v>2520</v>
      </c>
      <c r="G486" s="4" t="s">
        <v>47</v>
      </c>
      <c r="H486" s="4" t="s">
        <v>47</v>
      </c>
      <c r="I486">
        <f t="shared" si="14"/>
        <v>0</v>
      </c>
      <c r="J486">
        <f t="shared" si="15"/>
        <v>0</v>
      </c>
    </row>
    <row r="487" spans="1:10" ht="15" customHeight="1" x14ac:dyDescent="0.2">
      <c r="A487" s="3" t="s">
        <v>2521</v>
      </c>
      <c r="B487" s="3" t="s">
        <v>2522</v>
      </c>
      <c r="C487" s="3" t="s">
        <v>2523</v>
      </c>
      <c r="D487" s="3" t="s">
        <v>2524</v>
      </c>
      <c r="E487" s="3" t="s">
        <v>47</v>
      </c>
      <c r="F487" s="3" t="s">
        <v>2525</v>
      </c>
      <c r="G487" s="3" t="s">
        <v>47</v>
      </c>
      <c r="H487" s="3" t="s">
        <v>47</v>
      </c>
      <c r="I487">
        <f t="shared" si="14"/>
        <v>0</v>
      </c>
      <c r="J487">
        <f t="shared" si="15"/>
        <v>0</v>
      </c>
    </row>
    <row r="488" spans="1:10" ht="15" customHeight="1" x14ac:dyDescent="0.2">
      <c r="A488" s="4" t="s">
        <v>2526</v>
      </c>
      <c r="B488" s="4" t="s">
        <v>2527</v>
      </c>
      <c r="C488" s="4" t="s">
        <v>2528</v>
      </c>
      <c r="D488" s="4" t="s">
        <v>2529</v>
      </c>
      <c r="E488" s="4" t="s">
        <v>47</v>
      </c>
      <c r="F488" s="4" t="s">
        <v>2529</v>
      </c>
      <c r="G488" s="4" t="s">
        <v>2530</v>
      </c>
      <c r="H488" s="4" t="s">
        <v>47</v>
      </c>
      <c r="I488">
        <f t="shared" si="14"/>
        <v>8393.2900000000009</v>
      </c>
      <c r="J488">
        <f t="shared" si="15"/>
        <v>-8393.2900000000009</v>
      </c>
    </row>
    <row r="489" spans="1:10" ht="15" customHeight="1" x14ac:dyDescent="0.2">
      <c r="A489" s="3" t="s">
        <v>2531</v>
      </c>
      <c r="B489" s="3" t="s">
        <v>2532</v>
      </c>
      <c r="C489" s="3" t="s">
        <v>2533</v>
      </c>
      <c r="D489" s="3" t="s">
        <v>2533</v>
      </c>
      <c r="E489" s="3" t="s">
        <v>2534</v>
      </c>
      <c r="F489" s="3" t="s">
        <v>2535</v>
      </c>
      <c r="G489" s="3" t="s">
        <v>2536</v>
      </c>
      <c r="H489" s="3" t="s">
        <v>47</v>
      </c>
      <c r="I489">
        <f t="shared" si="14"/>
        <v>5395.77</v>
      </c>
      <c r="J489">
        <f t="shared" si="15"/>
        <v>-5395.77</v>
      </c>
    </row>
    <row r="490" spans="1:10" ht="15" customHeight="1" x14ac:dyDescent="0.2">
      <c r="A490" s="4" t="s">
        <v>2537</v>
      </c>
      <c r="B490" s="4" t="s">
        <v>2538</v>
      </c>
      <c r="C490" s="4" t="s">
        <v>2539</v>
      </c>
      <c r="D490" s="4" t="s">
        <v>47</v>
      </c>
      <c r="E490" s="4" t="s">
        <v>47</v>
      </c>
      <c r="F490" s="4" t="s">
        <v>47</v>
      </c>
      <c r="G490" s="4" t="s">
        <v>2539</v>
      </c>
      <c r="H490" s="4" t="s">
        <v>47</v>
      </c>
      <c r="I490">
        <f t="shared" si="14"/>
        <v>13075.11</v>
      </c>
      <c r="J490">
        <f t="shared" si="15"/>
        <v>-13075.11</v>
      </c>
    </row>
    <row r="491" spans="1:10" ht="15" customHeight="1" x14ac:dyDescent="0.2">
      <c r="A491" s="3" t="s">
        <v>2540</v>
      </c>
      <c r="B491" s="3" t="s">
        <v>2541</v>
      </c>
      <c r="C491" s="3" t="s">
        <v>2542</v>
      </c>
      <c r="D491" s="3" t="s">
        <v>2543</v>
      </c>
      <c r="E491" s="3" t="s">
        <v>47</v>
      </c>
      <c r="F491" s="3" t="s">
        <v>2543</v>
      </c>
      <c r="G491" s="3" t="s">
        <v>2544</v>
      </c>
      <c r="H491" s="3" t="s">
        <v>47</v>
      </c>
      <c r="I491">
        <f t="shared" si="14"/>
        <v>5385.42</v>
      </c>
      <c r="J491">
        <f t="shared" si="15"/>
        <v>-5385.42</v>
      </c>
    </row>
    <row r="492" spans="1:10" ht="15" customHeight="1" x14ac:dyDescent="0.2">
      <c r="A492" s="4" t="s">
        <v>2545</v>
      </c>
      <c r="B492" s="4" t="s">
        <v>2546</v>
      </c>
      <c r="C492" s="4" t="s">
        <v>2547</v>
      </c>
      <c r="D492" s="4" t="s">
        <v>47</v>
      </c>
      <c r="E492" s="4" t="s">
        <v>47</v>
      </c>
      <c r="F492" s="4" t="s">
        <v>2548</v>
      </c>
      <c r="G492" s="4" t="s">
        <v>2549</v>
      </c>
      <c r="H492" s="4" t="s">
        <v>47</v>
      </c>
      <c r="I492">
        <f t="shared" si="14"/>
        <v>18969.13</v>
      </c>
      <c r="J492">
        <f t="shared" si="15"/>
        <v>-18969.13</v>
      </c>
    </row>
    <row r="493" spans="1:10" ht="15" customHeight="1" x14ac:dyDescent="0.2">
      <c r="A493" s="3" t="s">
        <v>2550</v>
      </c>
      <c r="B493" s="3" t="s">
        <v>2551</v>
      </c>
      <c r="C493" s="3" t="s">
        <v>2552</v>
      </c>
      <c r="D493" s="3" t="s">
        <v>2553</v>
      </c>
      <c r="E493" s="3" t="s">
        <v>47</v>
      </c>
      <c r="F493" s="3" t="s">
        <v>2553</v>
      </c>
      <c r="G493" s="3" t="s">
        <v>2554</v>
      </c>
      <c r="H493" s="3" t="s">
        <v>47</v>
      </c>
      <c r="I493">
        <f t="shared" si="14"/>
        <v>5690</v>
      </c>
      <c r="J493">
        <f t="shared" si="15"/>
        <v>-5690</v>
      </c>
    </row>
    <row r="494" spans="1:10" ht="15" customHeight="1" x14ac:dyDescent="0.2">
      <c r="A494" s="4" t="s">
        <v>2555</v>
      </c>
      <c r="B494" s="4" t="s">
        <v>2556</v>
      </c>
      <c r="C494" s="4" t="s">
        <v>47</v>
      </c>
      <c r="D494" s="4" t="s">
        <v>47</v>
      </c>
      <c r="E494" s="4" t="s">
        <v>2557</v>
      </c>
      <c r="F494" s="4" t="s">
        <v>47</v>
      </c>
      <c r="G494" s="4" t="s">
        <v>2557</v>
      </c>
      <c r="H494" s="4" t="s">
        <v>47</v>
      </c>
      <c r="I494">
        <f t="shared" si="14"/>
        <v>786.9</v>
      </c>
      <c r="J494">
        <f t="shared" si="15"/>
        <v>-786.9</v>
      </c>
    </row>
    <row r="495" spans="1:10" ht="15" customHeight="1" x14ac:dyDescent="0.2">
      <c r="A495" s="3" t="s">
        <v>2558</v>
      </c>
      <c r="B495" s="3" t="s">
        <v>2559</v>
      </c>
      <c r="C495" s="3" t="s">
        <v>2560</v>
      </c>
      <c r="D495" s="3" t="s">
        <v>2561</v>
      </c>
      <c r="E495" s="3" t="s">
        <v>47</v>
      </c>
      <c r="F495" s="3" t="s">
        <v>2498</v>
      </c>
      <c r="G495" s="3" t="s">
        <v>2498</v>
      </c>
      <c r="H495" s="3" t="s">
        <v>47</v>
      </c>
      <c r="I495">
        <f t="shared" si="14"/>
        <v>13500</v>
      </c>
      <c r="J495">
        <f t="shared" si="15"/>
        <v>-13500</v>
      </c>
    </row>
    <row r="496" spans="1:10" ht="15" customHeight="1" x14ac:dyDescent="0.2">
      <c r="A496" s="4" t="s">
        <v>2562</v>
      </c>
      <c r="B496" s="4" t="s">
        <v>2563</v>
      </c>
      <c r="C496" s="4" t="s">
        <v>2564</v>
      </c>
      <c r="D496" s="4" t="s">
        <v>47</v>
      </c>
      <c r="E496" s="4" t="s">
        <v>2565</v>
      </c>
      <c r="F496" s="4" t="s">
        <v>2566</v>
      </c>
      <c r="G496" s="4" t="s">
        <v>2567</v>
      </c>
      <c r="H496" s="4" t="s">
        <v>47</v>
      </c>
      <c r="I496">
        <f t="shared" si="14"/>
        <v>24183.33</v>
      </c>
      <c r="J496">
        <f t="shared" si="15"/>
        <v>-24183.33</v>
      </c>
    </row>
    <row r="497" spans="1:10" ht="15" customHeight="1" x14ac:dyDescent="0.2">
      <c r="A497" s="3" t="s">
        <v>2568</v>
      </c>
      <c r="B497" s="3" t="s">
        <v>2569</v>
      </c>
      <c r="C497" s="3" t="s">
        <v>2570</v>
      </c>
      <c r="D497" s="3" t="s">
        <v>47</v>
      </c>
      <c r="E497" s="3" t="s">
        <v>47</v>
      </c>
      <c r="F497" s="3" t="s">
        <v>2570</v>
      </c>
      <c r="G497" s="3" t="s">
        <v>47</v>
      </c>
      <c r="H497" s="3" t="s">
        <v>47</v>
      </c>
      <c r="I497">
        <f t="shared" si="14"/>
        <v>0</v>
      </c>
      <c r="J497">
        <f t="shared" si="15"/>
        <v>0</v>
      </c>
    </row>
    <row r="498" spans="1:10" ht="15" customHeight="1" x14ac:dyDescent="0.2">
      <c r="A498" s="4" t="s">
        <v>2571</v>
      </c>
      <c r="B498" s="4" t="s">
        <v>2572</v>
      </c>
      <c r="C498" s="4" t="s">
        <v>2573</v>
      </c>
      <c r="D498" s="4" t="s">
        <v>47</v>
      </c>
      <c r="E498" s="4" t="s">
        <v>47</v>
      </c>
      <c r="F498" s="4" t="s">
        <v>2574</v>
      </c>
      <c r="G498" s="4" t="s">
        <v>2575</v>
      </c>
      <c r="H498" s="4" t="s">
        <v>47</v>
      </c>
      <c r="I498">
        <f t="shared" si="14"/>
        <v>25600</v>
      </c>
      <c r="J498">
        <f t="shared" si="15"/>
        <v>-25600</v>
      </c>
    </row>
    <row r="499" spans="1:10" ht="15" customHeight="1" x14ac:dyDescent="0.2">
      <c r="A499" s="3" t="s">
        <v>2576</v>
      </c>
      <c r="B499" s="3" t="s">
        <v>2577</v>
      </c>
      <c r="C499" s="3" t="s">
        <v>2578</v>
      </c>
      <c r="D499" s="3" t="s">
        <v>2579</v>
      </c>
      <c r="E499" s="3" t="s">
        <v>2580</v>
      </c>
      <c r="F499" s="3" t="s">
        <v>2581</v>
      </c>
      <c r="G499" s="3" t="s">
        <v>2582</v>
      </c>
      <c r="H499" s="3" t="s">
        <v>47</v>
      </c>
      <c r="I499">
        <f t="shared" si="14"/>
        <v>229183.09</v>
      </c>
      <c r="J499">
        <f t="shared" si="15"/>
        <v>-229183.09</v>
      </c>
    </row>
    <row r="500" spans="1:10" ht="15" customHeight="1" x14ac:dyDescent="0.2">
      <c r="A500" s="4" t="s">
        <v>2583</v>
      </c>
      <c r="B500" s="4" t="s">
        <v>2584</v>
      </c>
      <c r="C500" s="4" t="s">
        <v>2585</v>
      </c>
      <c r="D500" s="4" t="s">
        <v>47</v>
      </c>
      <c r="E500" s="4" t="s">
        <v>47</v>
      </c>
      <c r="F500" s="4" t="s">
        <v>47</v>
      </c>
      <c r="G500" s="4" t="s">
        <v>2585</v>
      </c>
      <c r="H500" s="4" t="s">
        <v>47</v>
      </c>
      <c r="I500">
        <f t="shared" si="14"/>
        <v>20484.89</v>
      </c>
      <c r="J500">
        <f t="shared" si="15"/>
        <v>-20484.89</v>
      </c>
    </row>
    <row r="501" spans="1:10" ht="15" customHeight="1" x14ac:dyDescent="0.2">
      <c r="A501" s="3" t="s">
        <v>2586</v>
      </c>
      <c r="B501" s="3" t="s">
        <v>2587</v>
      </c>
      <c r="C501" s="3" t="s">
        <v>2588</v>
      </c>
      <c r="D501" s="3" t="s">
        <v>47</v>
      </c>
      <c r="E501" s="3" t="s">
        <v>47</v>
      </c>
      <c r="F501" s="3" t="s">
        <v>2588</v>
      </c>
      <c r="G501" s="3" t="s">
        <v>47</v>
      </c>
      <c r="H501" s="3" t="s">
        <v>47</v>
      </c>
      <c r="I501">
        <f t="shared" si="14"/>
        <v>0</v>
      </c>
      <c r="J501">
        <f t="shared" si="15"/>
        <v>0</v>
      </c>
    </row>
    <row r="502" spans="1:10" ht="15" customHeight="1" x14ac:dyDescent="0.2">
      <c r="A502" s="4" t="s">
        <v>2589</v>
      </c>
      <c r="B502" s="4" t="s">
        <v>2590</v>
      </c>
      <c r="C502" s="4" t="s">
        <v>2591</v>
      </c>
      <c r="D502" s="4" t="s">
        <v>47</v>
      </c>
      <c r="E502" s="4" t="s">
        <v>47</v>
      </c>
      <c r="F502" s="4" t="s">
        <v>2592</v>
      </c>
      <c r="G502" s="4" t="s">
        <v>2592</v>
      </c>
      <c r="H502" s="4" t="s">
        <v>47</v>
      </c>
      <c r="I502">
        <f t="shared" si="14"/>
        <v>1329.54</v>
      </c>
      <c r="J502">
        <f t="shared" si="15"/>
        <v>-1329.54</v>
      </c>
    </row>
    <row r="503" spans="1:10" ht="15" customHeight="1" x14ac:dyDescent="0.2">
      <c r="A503" s="3" t="s">
        <v>2593</v>
      </c>
      <c r="B503" s="3" t="s">
        <v>2594</v>
      </c>
      <c r="C503" s="3" t="s">
        <v>2595</v>
      </c>
      <c r="D503" s="3" t="s">
        <v>2596</v>
      </c>
      <c r="E503" s="3" t="s">
        <v>47</v>
      </c>
      <c r="F503" s="3" t="s">
        <v>2561</v>
      </c>
      <c r="G503" s="3" t="s">
        <v>2597</v>
      </c>
      <c r="H503" s="3" t="s">
        <v>47</v>
      </c>
      <c r="I503">
        <f t="shared" si="14"/>
        <v>9000.09</v>
      </c>
      <c r="J503">
        <f t="shared" si="15"/>
        <v>-9000.09</v>
      </c>
    </row>
    <row r="504" spans="1:10" ht="15" customHeight="1" x14ac:dyDescent="0.2">
      <c r="A504" s="4" t="s">
        <v>2598</v>
      </c>
      <c r="B504" s="4" t="s">
        <v>2599</v>
      </c>
      <c r="C504" s="4" t="s">
        <v>2600</v>
      </c>
      <c r="D504" s="4" t="s">
        <v>2601</v>
      </c>
      <c r="E504" s="4" t="s">
        <v>47</v>
      </c>
      <c r="F504" s="4" t="s">
        <v>2602</v>
      </c>
      <c r="G504" s="4" t="s">
        <v>47</v>
      </c>
      <c r="H504" s="4" t="s">
        <v>47</v>
      </c>
      <c r="I504">
        <f t="shared" si="14"/>
        <v>0</v>
      </c>
      <c r="J504">
        <f t="shared" si="15"/>
        <v>0</v>
      </c>
    </row>
    <row r="505" spans="1:10" ht="15" customHeight="1" x14ac:dyDescent="0.2">
      <c r="A505" s="3" t="s">
        <v>2603</v>
      </c>
      <c r="B505" s="3" t="s">
        <v>2604</v>
      </c>
      <c r="C505" s="3" t="s">
        <v>2605</v>
      </c>
      <c r="D505" s="3" t="s">
        <v>47</v>
      </c>
      <c r="E505" s="3" t="s">
        <v>47</v>
      </c>
      <c r="F505" s="3" t="s">
        <v>2606</v>
      </c>
      <c r="G505" s="3" t="s">
        <v>2607</v>
      </c>
      <c r="H505" s="3" t="s">
        <v>47</v>
      </c>
      <c r="I505">
        <f t="shared" si="14"/>
        <v>2980.17</v>
      </c>
      <c r="J505">
        <f t="shared" si="15"/>
        <v>-2980.17</v>
      </c>
    </row>
    <row r="506" spans="1:10" ht="15" customHeight="1" x14ac:dyDescent="0.2">
      <c r="A506" s="4" t="s">
        <v>2608</v>
      </c>
      <c r="B506" s="4" t="s">
        <v>2609</v>
      </c>
      <c r="C506" s="4" t="s">
        <v>2030</v>
      </c>
      <c r="D506" s="4" t="s">
        <v>47</v>
      </c>
      <c r="E506" s="4" t="s">
        <v>47</v>
      </c>
      <c r="F506" s="4" t="s">
        <v>2610</v>
      </c>
      <c r="G506" s="4" t="s">
        <v>2611</v>
      </c>
      <c r="H506" s="4" t="s">
        <v>47</v>
      </c>
      <c r="I506">
        <f t="shared" si="14"/>
        <v>9750</v>
      </c>
      <c r="J506">
        <f t="shared" si="15"/>
        <v>-9750</v>
      </c>
    </row>
    <row r="507" spans="1:10" ht="15" customHeight="1" x14ac:dyDescent="0.2">
      <c r="A507" s="3" t="s">
        <v>2612</v>
      </c>
      <c r="B507" s="3" t="s">
        <v>2613</v>
      </c>
      <c r="C507" s="3" t="s">
        <v>2614</v>
      </c>
      <c r="D507" s="3" t="s">
        <v>2615</v>
      </c>
      <c r="E507" s="3" t="s">
        <v>47</v>
      </c>
      <c r="F507" s="3" t="s">
        <v>2616</v>
      </c>
      <c r="G507" s="3" t="s">
        <v>2617</v>
      </c>
      <c r="H507" s="3" t="s">
        <v>47</v>
      </c>
      <c r="I507">
        <f t="shared" si="14"/>
        <v>3542.21</v>
      </c>
      <c r="J507">
        <f t="shared" si="15"/>
        <v>-3542.21</v>
      </c>
    </row>
    <row r="508" spans="1:10" ht="15" customHeight="1" x14ac:dyDescent="0.2">
      <c r="A508" s="4" t="s">
        <v>2618</v>
      </c>
      <c r="B508" s="4" t="s">
        <v>2619</v>
      </c>
      <c r="C508" s="4" t="s">
        <v>2620</v>
      </c>
      <c r="D508" s="4" t="s">
        <v>47</v>
      </c>
      <c r="E508" s="4" t="s">
        <v>47</v>
      </c>
      <c r="F508" s="4" t="s">
        <v>2621</v>
      </c>
      <c r="G508" s="4" t="s">
        <v>2622</v>
      </c>
      <c r="H508" s="4" t="s">
        <v>47</v>
      </c>
      <c r="I508">
        <f t="shared" si="14"/>
        <v>5775</v>
      </c>
      <c r="J508">
        <f t="shared" si="15"/>
        <v>-5775</v>
      </c>
    </row>
    <row r="509" spans="1:10" ht="15" customHeight="1" x14ac:dyDescent="0.2">
      <c r="A509" s="3" t="s">
        <v>2623</v>
      </c>
      <c r="B509" s="3" t="s">
        <v>2624</v>
      </c>
      <c r="C509" s="3" t="s">
        <v>2625</v>
      </c>
      <c r="D509" s="3" t="s">
        <v>47</v>
      </c>
      <c r="E509" s="3" t="s">
        <v>47</v>
      </c>
      <c r="F509" s="3" t="s">
        <v>2625</v>
      </c>
      <c r="G509" s="3" t="s">
        <v>47</v>
      </c>
      <c r="H509" s="3" t="s">
        <v>47</v>
      </c>
      <c r="I509">
        <f t="shared" si="14"/>
        <v>0</v>
      </c>
      <c r="J509">
        <f t="shared" si="15"/>
        <v>0</v>
      </c>
    </row>
    <row r="510" spans="1:10" ht="15" customHeight="1" x14ac:dyDescent="0.2">
      <c r="A510" s="4" t="s">
        <v>2626</v>
      </c>
      <c r="B510" s="4" t="s">
        <v>2627</v>
      </c>
      <c r="C510" s="4" t="s">
        <v>2628</v>
      </c>
      <c r="D510" s="4" t="s">
        <v>47</v>
      </c>
      <c r="E510" s="4" t="s">
        <v>47</v>
      </c>
      <c r="F510" s="4" t="s">
        <v>2629</v>
      </c>
      <c r="G510" s="4" t="s">
        <v>2630</v>
      </c>
      <c r="H510" s="4" t="s">
        <v>47</v>
      </c>
      <c r="I510">
        <f t="shared" si="14"/>
        <v>3120</v>
      </c>
      <c r="J510">
        <f t="shared" si="15"/>
        <v>-3120</v>
      </c>
    </row>
    <row r="511" spans="1:10" ht="15" customHeight="1" x14ac:dyDescent="0.2">
      <c r="A511" s="3" t="s">
        <v>2631</v>
      </c>
      <c r="B511" s="3" t="s">
        <v>2632</v>
      </c>
      <c r="C511" s="3" t="s">
        <v>2633</v>
      </c>
      <c r="D511" s="3" t="s">
        <v>47</v>
      </c>
      <c r="E511" s="3" t="s">
        <v>47</v>
      </c>
      <c r="F511" s="3" t="s">
        <v>47</v>
      </c>
      <c r="G511" s="3" t="s">
        <v>2633</v>
      </c>
      <c r="H511" s="3" t="s">
        <v>47</v>
      </c>
      <c r="I511">
        <f t="shared" si="14"/>
        <v>951.28</v>
      </c>
      <c r="J511">
        <f t="shared" si="15"/>
        <v>-951.28</v>
      </c>
    </row>
    <row r="512" spans="1:10" ht="15" customHeight="1" x14ac:dyDescent="0.2">
      <c r="A512" s="4" t="s">
        <v>2634</v>
      </c>
      <c r="B512" s="4" t="s">
        <v>2635</v>
      </c>
      <c r="C512" s="4" t="s">
        <v>2636</v>
      </c>
      <c r="D512" s="4" t="s">
        <v>2636</v>
      </c>
      <c r="E512" s="4" t="s">
        <v>2637</v>
      </c>
      <c r="F512" s="4" t="s">
        <v>2637</v>
      </c>
      <c r="G512" s="4" t="s">
        <v>47</v>
      </c>
      <c r="H512" s="4" t="s">
        <v>47</v>
      </c>
      <c r="I512">
        <f t="shared" si="14"/>
        <v>0</v>
      </c>
      <c r="J512">
        <f t="shared" si="15"/>
        <v>0</v>
      </c>
    </row>
    <row r="513" spans="1:10" ht="15" customHeight="1" x14ac:dyDescent="0.2">
      <c r="A513" s="3" t="s">
        <v>2638</v>
      </c>
      <c r="B513" s="3" t="s">
        <v>2639</v>
      </c>
      <c r="C513" s="3" t="s">
        <v>2640</v>
      </c>
      <c r="D513" s="3" t="s">
        <v>2640</v>
      </c>
      <c r="E513" s="3" t="s">
        <v>2641</v>
      </c>
      <c r="F513" s="3" t="s">
        <v>2641</v>
      </c>
      <c r="G513" s="3" t="s">
        <v>47</v>
      </c>
      <c r="H513" s="3" t="s">
        <v>47</v>
      </c>
      <c r="I513">
        <f t="shared" si="14"/>
        <v>0</v>
      </c>
      <c r="J513">
        <f t="shared" si="15"/>
        <v>0</v>
      </c>
    </row>
    <row r="514" spans="1:10" ht="15" customHeight="1" x14ac:dyDescent="0.2">
      <c r="A514" s="4" t="s">
        <v>2642</v>
      </c>
      <c r="B514" s="4" t="s">
        <v>2643</v>
      </c>
      <c r="C514" s="4" t="s">
        <v>2644</v>
      </c>
      <c r="D514" s="4" t="s">
        <v>2645</v>
      </c>
      <c r="E514" s="4" t="s">
        <v>47</v>
      </c>
      <c r="F514" s="4" t="s">
        <v>47</v>
      </c>
      <c r="G514" s="4" t="s">
        <v>47</v>
      </c>
      <c r="H514" s="4" t="s">
        <v>1908</v>
      </c>
      <c r="I514">
        <f t="shared" si="14"/>
        <v>-0.1</v>
      </c>
      <c r="J514">
        <f t="shared" si="15"/>
        <v>0.2</v>
      </c>
    </row>
    <row r="515" spans="1:10" ht="15" customHeight="1" x14ac:dyDescent="0.2">
      <c r="A515" s="3" t="s">
        <v>2646</v>
      </c>
      <c r="B515" s="3" t="s">
        <v>2647</v>
      </c>
      <c r="C515" s="3" t="s">
        <v>2648</v>
      </c>
      <c r="D515" s="3" t="s">
        <v>2648</v>
      </c>
      <c r="E515" s="3" t="s">
        <v>2649</v>
      </c>
      <c r="F515" s="3" t="s">
        <v>2649</v>
      </c>
      <c r="G515" s="3" t="s">
        <v>47</v>
      </c>
      <c r="H515" s="3" t="s">
        <v>47</v>
      </c>
      <c r="I515">
        <f t="shared" si="14"/>
        <v>0</v>
      </c>
      <c r="J515">
        <f t="shared" si="15"/>
        <v>0</v>
      </c>
    </row>
    <row r="516" spans="1:10" ht="15" customHeight="1" x14ac:dyDescent="0.2">
      <c r="A516" s="4" t="s">
        <v>2650</v>
      </c>
      <c r="B516" s="4" t="s">
        <v>2651</v>
      </c>
      <c r="C516" s="4" t="s">
        <v>47</v>
      </c>
      <c r="D516" s="4" t="s">
        <v>47</v>
      </c>
      <c r="E516" s="4" t="s">
        <v>2652</v>
      </c>
      <c r="F516" s="4" t="s">
        <v>2652</v>
      </c>
      <c r="G516" s="4" t="s">
        <v>47</v>
      </c>
      <c r="H516" s="4" t="s">
        <v>47</v>
      </c>
      <c r="I516">
        <f t="shared" ref="I516:I579" si="16">IF(MID(A516,1,1)="1",G516-H516,IF(MID(A516,1,1)="2",H516-G516,"VERIFICAR"))</f>
        <v>0</v>
      </c>
      <c r="J516">
        <f t="shared" ref="J516:J579" si="17">IF(MID(A516,1,1)="1",H516-I516,IF(MID(B516,1,1)="2",I516-H516,IF(MID(A516,1,1)="3",F516-E516,IF(MID(A516,1,1)="4",E516-F516,"VERIFICAR"))))</f>
        <v>0</v>
      </c>
    </row>
    <row r="517" spans="1:10" ht="15" customHeight="1" x14ac:dyDescent="0.2">
      <c r="A517" s="3" t="s">
        <v>2653</v>
      </c>
      <c r="B517" s="3" t="s">
        <v>2654</v>
      </c>
      <c r="C517" s="3" t="s">
        <v>2655</v>
      </c>
      <c r="D517" s="3" t="s">
        <v>47</v>
      </c>
      <c r="E517" s="3" t="s">
        <v>47</v>
      </c>
      <c r="F517" s="3" t="s">
        <v>2656</v>
      </c>
      <c r="G517" s="3" t="s">
        <v>2029</v>
      </c>
      <c r="H517" s="3" t="s">
        <v>47</v>
      </c>
      <c r="I517">
        <f t="shared" si="16"/>
        <v>2004.86</v>
      </c>
      <c r="J517">
        <f t="shared" si="17"/>
        <v>-2004.86</v>
      </c>
    </row>
    <row r="518" spans="1:10" ht="15" customHeight="1" x14ac:dyDescent="0.2">
      <c r="A518" s="4" t="s">
        <v>2657</v>
      </c>
      <c r="B518" s="4" t="s">
        <v>2658</v>
      </c>
      <c r="C518" s="4" t="s">
        <v>2659</v>
      </c>
      <c r="D518" s="4" t="s">
        <v>47</v>
      </c>
      <c r="E518" s="4" t="s">
        <v>47</v>
      </c>
      <c r="F518" s="4" t="s">
        <v>2659</v>
      </c>
      <c r="G518" s="4" t="s">
        <v>47</v>
      </c>
      <c r="H518" s="4" t="s">
        <v>47</v>
      </c>
      <c r="I518">
        <f t="shared" si="16"/>
        <v>0</v>
      </c>
      <c r="J518">
        <f t="shared" si="17"/>
        <v>0</v>
      </c>
    </row>
    <row r="519" spans="1:10" ht="15" customHeight="1" x14ac:dyDescent="0.2">
      <c r="A519" s="3" t="s">
        <v>2660</v>
      </c>
      <c r="B519" s="3" t="s">
        <v>2661</v>
      </c>
      <c r="C519" s="3" t="s">
        <v>47</v>
      </c>
      <c r="D519" s="3" t="s">
        <v>47</v>
      </c>
      <c r="E519" s="3" t="s">
        <v>2662</v>
      </c>
      <c r="F519" s="3" t="s">
        <v>2662</v>
      </c>
      <c r="G519" s="3" t="s">
        <v>47</v>
      </c>
      <c r="H519" s="3" t="s">
        <v>47</v>
      </c>
      <c r="I519">
        <f t="shared" si="16"/>
        <v>0</v>
      </c>
      <c r="J519">
        <f t="shared" si="17"/>
        <v>0</v>
      </c>
    </row>
    <row r="520" spans="1:10" ht="15" customHeight="1" x14ac:dyDescent="0.2">
      <c r="A520" s="4" t="s">
        <v>2663</v>
      </c>
      <c r="B520" s="4" t="s">
        <v>2664</v>
      </c>
      <c r="C520" s="4" t="s">
        <v>47</v>
      </c>
      <c r="D520" s="4" t="s">
        <v>47</v>
      </c>
      <c r="E520" s="4" t="s">
        <v>2665</v>
      </c>
      <c r="F520" s="4" t="s">
        <v>2665</v>
      </c>
      <c r="G520" s="4" t="s">
        <v>47</v>
      </c>
      <c r="H520" s="4" t="s">
        <v>47</v>
      </c>
      <c r="I520">
        <f t="shared" si="16"/>
        <v>0</v>
      </c>
      <c r="J520">
        <f t="shared" si="17"/>
        <v>0</v>
      </c>
    </row>
    <row r="521" spans="1:10" ht="15" customHeight="1" x14ac:dyDescent="0.2">
      <c r="A521" s="3" t="s">
        <v>2666</v>
      </c>
      <c r="B521" s="3" t="s">
        <v>2667</v>
      </c>
      <c r="C521" s="3" t="s">
        <v>47</v>
      </c>
      <c r="D521" s="3" t="s">
        <v>47</v>
      </c>
      <c r="E521" s="3" t="s">
        <v>639</v>
      </c>
      <c r="F521" s="3" t="s">
        <v>639</v>
      </c>
      <c r="G521" s="3" t="s">
        <v>47</v>
      </c>
      <c r="H521" s="3" t="s">
        <v>47</v>
      </c>
      <c r="I521">
        <f t="shared" si="16"/>
        <v>0</v>
      </c>
      <c r="J521">
        <f t="shared" si="17"/>
        <v>0</v>
      </c>
    </row>
    <row r="522" spans="1:10" ht="15" customHeight="1" x14ac:dyDescent="0.2">
      <c r="A522" s="4" t="s">
        <v>2668</v>
      </c>
      <c r="B522" s="4" t="s">
        <v>2669</v>
      </c>
      <c r="C522" s="4" t="s">
        <v>47</v>
      </c>
      <c r="D522" s="4" t="s">
        <v>47</v>
      </c>
      <c r="E522" s="4" t="s">
        <v>2670</v>
      </c>
      <c r="F522" s="4" t="s">
        <v>2670</v>
      </c>
      <c r="G522" s="4" t="s">
        <v>47</v>
      </c>
      <c r="H522" s="4" t="s">
        <v>47</v>
      </c>
      <c r="I522">
        <f t="shared" si="16"/>
        <v>0</v>
      </c>
      <c r="J522">
        <f t="shared" si="17"/>
        <v>0</v>
      </c>
    </row>
    <row r="523" spans="1:10" ht="15" customHeight="1" x14ac:dyDescent="0.2">
      <c r="A523" s="3" t="s">
        <v>2671</v>
      </c>
      <c r="B523" s="3" t="s">
        <v>2672</v>
      </c>
      <c r="C523" s="3" t="s">
        <v>47</v>
      </c>
      <c r="D523" s="3" t="s">
        <v>47</v>
      </c>
      <c r="E523" s="3" t="s">
        <v>2673</v>
      </c>
      <c r="F523" s="3" t="s">
        <v>2673</v>
      </c>
      <c r="G523" s="3" t="s">
        <v>47</v>
      </c>
      <c r="H523" s="3" t="s">
        <v>47</v>
      </c>
      <c r="I523">
        <f t="shared" si="16"/>
        <v>0</v>
      </c>
      <c r="J523">
        <f t="shared" si="17"/>
        <v>0</v>
      </c>
    </row>
    <row r="524" spans="1:10" ht="15" customHeight="1" x14ac:dyDescent="0.2">
      <c r="A524" s="4" t="s">
        <v>2674</v>
      </c>
      <c r="B524" s="4" t="s">
        <v>2675</v>
      </c>
      <c r="C524" s="4" t="s">
        <v>47</v>
      </c>
      <c r="D524" s="4" t="s">
        <v>47</v>
      </c>
      <c r="E524" s="4" t="s">
        <v>2676</v>
      </c>
      <c r="F524" s="4" t="s">
        <v>2676</v>
      </c>
      <c r="G524" s="4" t="s">
        <v>47</v>
      </c>
      <c r="H524" s="4" t="s">
        <v>47</v>
      </c>
      <c r="I524">
        <f t="shared" si="16"/>
        <v>0</v>
      </c>
      <c r="J524">
        <f t="shared" si="17"/>
        <v>0</v>
      </c>
    </row>
    <row r="525" spans="1:10" ht="15" customHeight="1" x14ac:dyDescent="0.2">
      <c r="A525" s="3" t="s">
        <v>2677</v>
      </c>
      <c r="B525" s="3" t="s">
        <v>2678</v>
      </c>
      <c r="C525" s="3" t="s">
        <v>47</v>
      </c>
      <c r="D525" s="3" t="s">
        <v>47</v>
      </c>
      <c r="E525" s="3" t="s">
        <v>2679</v>
      </c>
      <c r="F525" s="3" t="s">
        <v>47</v>
      </c>
      <c r="G525" s="3" t="s">
        <v>2679</v>
      </c>
      <c r="H525" s="3" t="s">
        <v>47</v>
      </c>
      <c r="I525">
        <f t="shared" si="16"/>
        <v>1424.35</v>
      </c>
      <c r="J525">
        <f t="shared" si="17"/>
        <v>-1424.35</v>
      </c>
    </row>
    <row r="526" spans="1:10" ht="15" customHeight="1" x14ac:dyDescent="0.2">
      <c r="A526" s="4" t="s">
        <v>2680</v>
      </c>
      <c r="B526" s="4" t="s">
        <v>2681</v>
      </c>
      <c r="C526" s="4" t="s">
        <v>47</v>
      </c>
      <c r="D526" s="4" t="s">
        <v>47</v>
      </c>
      <c r="E526" s="4" t="s">
        <v>2682</v>
      </c>
      <c r="F526" s="4" t="s">
        <v>47</v>
      </c>
      <c r="G526" s="4" t="s">
        <v>2682</v>
      </c>
      <c r="H526" s="4" t="s">
        <v>47</v>
      </c>
      <c r="I526">
        <f t="shared" si="16"/>
        <v>532.45000000000005</v>
      </c>
      <c r="J526">
        <f t="shared" si="17"/>
        <v>-532.45000000000005</v>
      </c>
    </row>
    <row r="527" spans="1:10" ht="15" customHeight="1" x14ac:dyDescent="0.2">
      <c r="A527" s="3" t="s">
        <v>2683</v>
      </c>
      <c r="B527" s="3" t="s">
        <v>2684</v>
      </c>
      <c r="C527" s="3" t="s">
        <v>47</v>
      </c>
      <c r="D527" s="3" t="s">
        <v>47</v>
      </c>
      <c r="E527" s="3" t="s">
        <v>2685</v>
      </c>
      <c r="F527" s="3" t="s">
        <v>47</v>
      </c>
      <c r="G527" s="3" t="s">
        <v>2685</v>
      </c>
      <c r="H527" s="3" t="s">
        <v>47</v>
      </c>
      <c r="I527">
        <f t="shared" si="16"/>
        <v>33310.44</v>
      </c>
      <c r="J527">
        <f t="shared" si="17"/>
        <v>-33310.44</v>
      </c>
    </row>
    <row r="528" spans="1:10" ht="15" customHeight="1" x14ac:dyDescent="0.2">
      <c r="A528" s="4" t="s">
        <v>2686</v>
      </c>
      <c r="B528" s="4" t="s">
        <v>2687</v>
      </c>
      <c r="C528" s="4" t="s">
        <v>47</v>
      </c>
      <c r="D528" s="4" t="s">
        <v>47</v>
      </c>
      <c r="E528" s="4" t="s">
        <v>2688</v>
      </c>
      <c r="F528" s="4" t="s">
        <v>2688</v>
      </c>
      <c r="G528" s="4" t="s">
        <v>47</v>
      </c>
      <c r="H528" s="4" t="s">
        <v>47</v>
      </c>
      <c r="I528">
        <f t="shared" si="16"/>
        <v>0</v>
      </c>
      <c r="J528">
        <f t="shared" si="17"/>
        <v>0</v>
      </c>
    </row>
    <row r="529" spans="1:10" ht="15" customHeight="1" x14ac:dyDescent="0.2">
      <c r="A529" s="3" t="s">
        <v>2689</v>
      </c>
      <c r="B529" s="3" t="s">
        <v>2690</v>
      </c>
      <c r="C529" s="3" t="s">
        <v>47</v>
      </c>
      <c r="D529" s="3" t="s">
        <v>47</v>
      </c>
      <c r="E529" s="3" t="s">
        <v>2691</v>
      </c>
      <c r="F529" s="3" t="s">
        <v>2691</v>
      </c>
      <c r="G529" s="3" t="s">
        <v>47</v>
      </c>
      <c r="H529" s="3" t="s">
        <v>47</v>
      </c>
      <c r="I529">
        <f t="shared" si="16"/>
        <v>0</v>
      </c>
      <c r="J529">
        <f t="shared" si="17"/>
        <v>0</v>
      </c>
    </row>
    <row r="530" spans="1:10" ht="15" customHeight="1" x14ac:dyDescent="0.2">
      <c r="A530" s="4" t="s">
        <v>2692</v>
      </c>
      <c r="B530" s="4" t="s">
        <v>2693</v>
      </c>
      <c r="C530" s="4" t="s">
        <v>47</v>
      </c>
      <c r="D530" s="4" t="s">
        <v>47</v>
      </c>
      <c r="E530" s="4" t="s">
        <v>2694</v>
      </c>
      <c r="F530" s="4" t="s">
        <v>2694</v>
      </c>
      <c r="G530" s="4" t="s">
        <v>47</v>
      </c>
      <c r="H530" s="4" t="s">
        <v>47</v>
      </c>
      <c r="I530">
        <f t="shared" si="16"/>
        <v>0</v>
      </c>
      <c r="J530">
        <f t="shared" si="17"/>
        <v>0</v>
      </c>
    </row>
    <row r="531" spans="1:10" ht="15" customHeight="1" x14ac:dyDescent="0.2">
      <c r="A531" s="3" t="s">
        <v>2695</v>
      </c>
      <c r="B531" s="3" t="s">
        <v>2696</v>
      </c>
      <c r="C531" s="3" t="s">
        <v>47</v>
      </c>
      <c r="D531" s="3" t="s">
        <v>47</v>
      </c>
      <c r="E531" s="3" t="s">
        <v>337</v>
      </c>
      <c r="F531" s="3" t="s">
        <v>47</v>
      </c>
      <c r="G531" s="3" t="s">
        <v>337</v>
      </c>
      <c r="H531" s="3" t="s">
        <v>47</v>
      </c>
      <c r="I531">
        <f t="shared" si="16"/>
        <v>300</v>
      </c>
      <c r="J531">
        <f t="shared" si="17"/>
        <v>-300</v>
      </c>
    </row>
    <row r="532" spans="1:10" ht="15" customHeight="1" x14ac:dyDescent="0.2">
      <c r="A532" s="4" t="s">
        <v>2697</v>
      </c>
      <c r="B532" s="4" t="s">
        <v>2698</v>
      </c>
      <c r="C532" s="4" t="s">
        <v>47</v>
      </c>
      <c r="D532" s="4" t="s">
        <v>47</v>
      </c>
      <c r="E532" s="4" t="s">
        <v>2699</v>
      </c>
      <c r="F532" s="4" t="s">
        <v>2699</v>
      </c>
      <c r="G532" s="4" t="s">
        <v>47</v>
      </c>
      <c r="H532" s="4" t="s">
        <v>47</v>
      </c>
      <c r="I532">
        <f t="shared" si="16"/>
        <v>0</v>
      </c>
      <c r="J532">
        <f t="shared" si="17"/>
        <v>0</v>
      </c>
    </row>
    <row r="533" spans="1:10" ht="15" customHeight="1" x14ac:dyDescent="0.2">
      <c r="A533" s="3" t="s">
        <v>2700</v>
      </c>
      <c r="B533" s="3" t="s">
        <v>2701</v>
      </c>
      <c r="C533" s="3" t="s">
        <v>47</v>
      </c>
      <c r="D533" s="3" t="s">
        <v>47</v>
      </c>
      <c r="E533" s="3" t="s">
        <v>2702</v>
      </c>
      <c r="F533" s="3" t="s">
        <v>2702</v>
      </c>
      <c r="G533" s="3" t="s">
        <v>47</v>
      </c>
      <c r="H533" s="3" t="s">
        <v>47</v>
      </c>
      <c r="I533">
        <f t="shared" si="16"/>
        <v>0</v>
      </c>
      <c r="J533">
        <f t="shared" si="17"/>
        <v>0</v>
      </c>
    </row>
    <row r="534" spans="1:10" ht="15" customHeight="1" x14ac:dyDescent="0.2">
      <c r="A534" s="4" t="s">
        <v>2703</v>
      </c>
      <c r="B534" s="4" t="s">
        <v>2704</v>
      </c>
      <c r="C534" s="4" t="s">
        <v>2705</v>
      </c>
      <c r="D534" s="4" t="s">
        <v>2706</v>
      </c>
      <c r="E534" s="4" t="s">
        <v>2707</v>
      </c>
      <c r="F534" s="4" t="s">
        <v>2708</v>
      </c>
      <c r="G534" s="4" t="s">
        <v>2709</v>
      </c>
      <c r="H534" s="4" t="s">
        <v>47</v>
      </c>
      <c r="I534">
        <f t="shared" si="16"/>
        <v>459317.85</v>
      </c>
      <c r="J534">
        <f t="shared" si="17"/>
        <v>-459317.85</v>
      </c>
    </row>
    <row r="535" spans="1:10" ht="15" customHeight="1" x14ac:dyDescent="0.2">
      <c r="A535" s="3" t="s">
        <v>2710</v>
      </c>
      <c r="B535" s="3" t="s">
        <v>2711</v>
      </c>
      <c r="C535" s="3" t="s">
        <v>2706</v>
      </c>
      <c r="D535" s="3" t="s">
        <v>2705</v>
      </c>
      <c r="E535" s="3" t="s">
        <v>2708</v>
      </c>
      <c r="F535" s="3" t="s">
        <v>2707</v>
      </c>
      <c r="G535" s="3" t="s">
        <v>47</v>
      </c>
      <c r="H535" s="3" t="s">
        <v>2709</v>
      </c>
      <c r="I535">
        <f t="shared" si="16"/>
        <v>-459317.85</v>
      </c>
      <c r="J535">
        <f t="shared" si="17"/>
        <v>918635.7</v>
      </c>
    </row>
    <row r="536" spans="1:10" ht="15" customHeight="1" x14ac:dyDescent="0.2">
      <c r="A536" s="4" t="s">
        <v>2712</v>
      </c>
      <c r="B536" s="4" t="s">
        <v>2713</v>
      </c>
      <c r="C536" s="4" t="s">
        <v>47</v>
      </c>
      <c r="D536" s="4" t="s">
        <v>47</v>
      </c>
      <c r="E536" s="4" t="s">
        <v>47</v>
      </c>
      <c r="F536" s="4" t="s">
        <v>47</v>
      </c>
      <c r="G536" s="4" t="s">
        <v>47</v>
      </c>
      <c r="H536" s="4" t="s">
        <v>2714</v>
      </c>
      <c r="I536">
        <f t="shared" si="16"/>
        <v>-11738.35</v>
      </c>
      <c r="J536">
        <f t="shared" si="17"/>
        <v>23476.7</v>
      </c>
    </row>
    <row r="537" spans="1:10" ht="15" customHeight="1" x14ac:dyDescent="0.2">
      <c r="A537" s="3" t="s">
        <v>2715</v>
      </c>
      <c r="B537" s="3" t="s">
        <v>2713</v>
      </c>
      <c r="C537" s="3" t="s">
        <v>47</v>
      </c>
      <c r="D537" s="3" t="s">
        <v>2714</v>
      </c>
      <c r="E537" s="3" t="s">
        <v>47</v>
      </c>
      <c r="F537" s="3" t="s">
        <v>47</v>
      </c>
      <c r="G537" s="3" t="s">
        <v>47</v>
      </c>
      <c r="H537" s="3" t="s">
        <v>2714</v>
      </c>
      <c r="I537">
        <f t="shared" si="16"/>
        <v>-11738.35</v>
      </c>
      <c r="J537">
        <f t="shared" si="17"/>
        <v>23476.7</v>
      </c>
    </row>
    <row r="538" spans="1:10" ht="15" customHeight="1" x14ac:dyDescent="0.2">
      <c r="A538" s="4" t="s">
        <v>2716</v>
      </c>
      <c r="B538" s="4" t="s">
        <v>2717</v>
      </c>
      <c r="C538" s="4" t="s">
        <v>47</v>
      </c>
      <c r="D538" s="4" t="s">
        <v>47</v>
      </c>
      <c r="E538" s="4" t="s">
        <v>2718</v>
      </c>
      <c r="F538" s="4" t="s">
        <v>2719</v>
      </c>
      <c r="G538" s="4" t="s">
        <v>2720</v>
      </c>
      <c r="H538" s="4" t="s">
        <v>47</v>
      </c>
      <c r="I538">
        <f t="shared" si="16"/>
        <v>139466.79</v>
      </c>
      <c r="J538">
        <f t="shared" si="17"/>
        <v>-139466.79</v>
      </c>
    </row>
    <row r="539" spans="1:10" ht="15" customHeight="1" x14ac:dyDescent="0.2">
      <c r="A539" s="3" t="s">
        <v>2721</v>
      </c>
      <c r="B539" s="3" t="s">
        <v>2722</v>
      </c>
      <c r="C539" s="3" t="s">
        <v>47</v>
      </c>
      <c r="D539" s="3" t="s">
        <v>47</v>
      </c>
      <c r="E539" s="3" t="s">
        <v>2723</v>
      </c>
      <c r="F539" s="3" t="s">
        <v>2724</v>
      </c>
      <c r="G539" s="3" t="s">
        <v>2725</v>
      </c>
      <c r="H539" s="3" t="s">
        <v>47</v>
      </c>
      <c r="I539">
        <f t="shared" si="16"/>
        <v>113586.91</v>
      </c>
      <c r="J539">
        <f t="shared" si="17"/>
        <v>-113586.91</v>
      </c>
    </row>
    <row r="540" spans="1:10" ht="15" customHeight="1" x14ac:dyDescent="0.2">
      <c r="A540" s="4" t="s">
        <v>2726</v>
      </c>
      <c r="B540" s="4" t="s">
        <v>2727</v>
      </c>
      <c r="C540" s="4" t="s">
        <v>2728</v>
      </c>
      <c r="D540" s="4" t="s">
        <v>2729</v>
      </c>
      <c r="E540" s="4" t="s">
        <v>108</v>
      </c>
      <c r="F540" s="4" t="s">
        <v>2730</v>
      </c>
      <c r="G540" s="4" t="s">
        <v>47</v>
      </c>
      <c r="H540" s="4" t="s">
        <v>47</v>
      </c>
      <c r="I540">
        <f t="shared" si="16"/>
        <v>0</v>
      </c>
      <c r="J540">
        <f t="shared" si="17"/>
        <v>0</v>
      </c>
    </row>
    <row r="541" spans="1:10" ht="15" customHeight="1" x14ac:dyDescent="0.2">
      <c r="A541" s="3" t="s">
        <v>2731</v>
      </c>
      <c r="B541" s="3" t="s">
        <v>2732</v>
      </c>
      <c r="C541" s="3" t="s">
        <v>2733</v>
      </c>
      <c r="D541" s="3" t="s">
        <v>2734</v>
      </c>
      <c r="E541" s="3" t="s">
        <v>2735</v>
      </c>
      <c r="F541" s="3" t="s">
        <v>2736</v>
      </c>
      <c r="G541" s="3" t="s">
        <v>2737</v>
      </c>
      <c r="H541" s="3" t="s">
        <v>47</v>
      </c>
      <c r="I541">
        <f t="shared" si="16"/>
        <v>62878.03</v>
      </c>
      <c r="J541">
        <f t="shared" si="17"/>
        <v>-62878.03</v>
      </c>
    </row>
    <row r="542" spans="1:10" ht="15" customHeight="1" x14ac:dyDescent="0.2">
      <c r="A542" s="4" t="s">
        <v>2738</v>
      </c>
      <c r="B542" s="4" t="s">
        <v>2739</v>
      </c>
      <c r="C542" s="4" t="s">
        <v>2740</v>
      </c>
      <c r="D542" s="4" t="s">
        <v>2741</v>
      </c>
      <c r="E542" s="4" t="s">
        <v>2742</v>
      </c>
      <c r="F542" s="4" t="s">
        <v>47</v>
      </c>
      <c r="G542" s="4" t="s">
        <v>2743</v>
      </c>
      <c r="H542" s="4" t="s">
        <v>47</v>
      </c>
      <c r="I542">
        <f t="shared" si="16"/>
        <v>29739.17</v>
      </c>
      <c r="J542">
        <f t="shared" si="17"/>
        <v>-29739.17</v>
      </c>
    </row>
    <row r="543" spans="1:10" ht="15" customHeight="1" x14ac:dyDescent="0.2">
      <c r="A543" s="3" t="s">
        <v>2744</v>
      </c>
      <c r="B543" s="3" t="s">
        <v>2745</v>
      </c>
      <c r="C543" s="3" t="s">
        <v>2746</v>
      </c>
      <c r="D543" s="3" t="s">
        <v>2747</v>
      </c>
      <c r="E543" s="3" t="s">
        <v>2748</v>
      </c>
      <c r="F543" s="3" t="s">
        <v>2749</v>
      </c>
      <c r="G543" s="3" t="s">
        <v>2750</v>
      </c>
      <c r="H543" s="3" t="s">
        <v>47</v>
      </c>
      <c r="I543">
        <f t="shared" si="16"/>
        <v>194.9</v>
      </c>
      <c r="J543">
        <f t="shared" si="17"/>
        <v>-194.9</v>
      </c>
    </row>
    <row r="544" spans="1:10" ht="15" customHeight="1" x14ac:dyDescent="0.2">
      <c r="A544" s="4" t="s">
        <v>2751</v>
      </c>
      <c r="B544" s="4" t="s">
        <v>2752</v>
      </c>
      <c r="C544" s="4" t="s">
        <v>2753</v>
      </c>
      <c r="D544" s="4" t="s">
        <v>2754</v>
      </c>
      <c r="E544" s="4" t="s">
        <v>47</v>
      </c>
      <c r="F544" s="4" t="s">
        <v>47</v>
      </c>
      <c r="G544" s="4" t="s">
        <v>2755</v>
      </c>
      <c r="H544" s="4" t="s">
        <v>47</v>
      </c>
      <c r="I544">
        <f t="shared" si="16"/>
        <v>19075</v>
      </c>
      <c r="J544">
        <f t="shared" si="17"/>
        <v>-19075</v>
      </c>
    </row>
    <row r="545" spans="1:10" ht="15" customHeight="1" x14ac:dyDescent="0.2">
      <c r="A545" s="3" t="s">
        <v>2756</v>
      </c>
      <c r="B545" s="3" t="s">
        <v>2757</v>
      </c>
      <c r="C545" s="3" t="s">
        <v>2758</v>
      </c>
      <c r="D545" s="3" t="s">
        <v>2759</v>
      </c>
      <c r="E545" s="3" t="s">
        <v>2760</v>
      </c>
      <c r="F545" s="3" t="s">
        <v>47</v>
      </c>
      <c r="G545" s="3" t="s">
        <v>2761</v>
      </c>
      <c r="H545" s="3" t="s">
        <v>47</v>
      </c>
      <c r="I545">
        <f t="shared" si="16"/>
        <v>1699.81</v>
      </c>
      <c r="J545">
        <f t="shared" si="17"/>
        <v>-1699.81</v>
      </c>
    </row>
    <row r="546" spans="1:10" ht="15" customHeight="1" x14ac:dyDescent="0.2">
      <c r="A546" s="4" t="s">
        <v>2762</v>
      </c>
      <c r="B546" s="4" t="s">
        <v>2763</v>
      </c>
      <c r="C546" s="4" t="s">
        <v>47</v>
      </c>
      <c r="D546" s="4" t="s">
        <v>47</v>
      </c>
      <c r="E546" s="4" t="s">
        <v>2764</v>
      </c>
      <c r="F546" s="4" t="s">
        <v>2764</v>
      </c>
      <c r="G546" s="4" t="s">
        <v>47</v>
      </c>
      <c r="H546" s="4" t="s">
        <v>47</v>
      </c>
      <c r="I546">
        <f t="shared" si="16"/>
        <v>0</v>
      </c>
      <c r="J546">
        <f t="shared" si="17"/>
        <v>0</v>
      </c>
    </row>
    <row r="547" spans="1:10" ht="15" customHeight="1" x14ac:dyDescent="0.2">
      <c r="A547" s="3" t="s">
        <v>2765</v>
      </c>
      <c r="B547" s="3" t="s">
        <v>2766</v>
      </c>
      <c r="C547" s="3" t="s">
        <v>2767</v>
      </c>
      <c r="D547" s="3" t="s">
        <v>2767</v>
      </c>
      <c r="E547" s="3" t="s">
        <v>2768</v>
      </c>
      <c r="F547" s="3" t="s">
        <v>2768</v>
      </c>
      <c r="G547" s="3" t="s">
        <v>47</v>
      </c>
      <c r="H547" s="3" t="s">
        <v>47</v>
      </c>
      <c r="I547">
        <f t="shared" si="16"/>
        <v>0</v>
      </c>
      <c r="J547">
        <f t="shared" si="17"/>
        <v>0</v>
      </c>
    </row>
    <row r="548" spans="1:10" ht="15" customHeight="1" x14ac:dyDescent="0.2">
      <c r="A548" s="4" t="s">
        <v>2769</v>
      </c>
      <c r="B548" s="4" t="s">
        <v>2770</v>
      </c>
      <c r="C548" s="4" t="s">
        <v>2771</v>
      </c>
      <c r="D548" s="4" t="s">
        <v>2771</v>
      </c>
      <c r="E548" s="4" t="s">
        <v>2772</v>
      </c>
      <c r="F548" s="4" t="s">
        <v>2772</v>
      </c>
      <c r="G548" s="4" t="s">
        <v>47</v>
      </c>
      <c r="H548" s="4" t="s">
        <v>47</v>
      </c>
      <c r="I548">
        <f t="shared" si="16"/>
        <v>0</v>
      </c>
      <c r="J548">
        <f t="shared" si="17"/>
        <v>0</v>
      </c>
    </row>
    <row r="549" spans="1:10" ht="15" customHeight="1" x14ac:dyDescent="0.2">
      <c r="A549" s="3" t="s">
        <v>2773</v>
      </c>
      <c r="B549" s="3" t="s">
        <v>2774</v>
      </c>
      <c r="C549" s="3" t="s">
        <v>47</v>
      </c>
      <c r="D549" s="3" t="s">
        <v>47</v>
      </c>
      <c r="E549" s="3" t="s">
        <v>47</v>
      </c>
      <c r="F549" s="3" t="s">
        <v>47</v>
      </c>
      <c r="G549" s="3" t="s">
        <v>2775</v>
      </c>
      <c r="H549" s="3" t="s">
        <v>47</v>
      </c>
      <c r="I549">
        <f t="shared" si="16"/>
        <v>25879.88</v>
      </c>
      <c r="J549">
        <f t="shared" si="17"/>
        <v>-25879.88</v>
      </c>
    </row>
    <row r="550" spans="1:10" ht="15" customHeight="1" x14ac:dyDescent="0.2">
      <c r="A550" s="4" t="s">
        <v>2776</v>
      </c>
      <c r="B550" s="4" t="s">
        <v>2777</v>
      </c>
      <c r="C550" s="4" t="s">
        <v>2778</v>
      </c>
      <c r="D550" s="4" t="s">
        <v>2779</v>
      </c>
      <c r="E550" s="4" t="s">
        <v>47</v>
      </c>
      <c r="F550" s="4" t="s">
        <v>47</v>
      </c>
      <c r="G550" s="4" t="s">
        <v>2775</v>
      </c>
      <c r="H550" s="4" t="s">
        <v>47</v>
      </c>
      <c r="I550">
        <f t="shared" si="16"/>
        <v>25879.88</v>
      </c>
      <c r="J550">
        <f t="shared" si="17"/>
        <v>-25879.88</v>
      </c>
    </row>
    <row r="551" spans="1:10" ht="15" customHeight="1" x14ac:dyDescent="0.2">
      <c r="A551" s="3" t="s">
        <v>2780</v>
      </c>
      <c r="B551" s="3" t="s">
        <v>2781</v>
      </c>
      <c r="C551" s="3" t="s">
        <v>47</v>
      </c>
      <c r="D551" s="3" t="s">
        <v>47</v>
      </c>
      <c r="E551" s="3" t="s">
        <v>2782</v>
      </c>
      <c r="F551" s="3" t="s">
        <v>2783</v>
      </c>
      <c r="G551" s="3" t="s">
        <v>2784</v>
      </c>
      <c r="H551" s="3" t="s">
        <v>47</v>
      </c>
      <c r="I551">
        <f t="shared" si="16"/>
        <v>6512418.46</v>
      </c>
      <c r="J551">
        <f t="shared" si="17"/>
        <v>-6512418.46</v>
      </c>
    </row>
    <row r="552" spans="1:10" ht="15" customHeight="1" x14ac:dyDescent="0.2">
      <c r="A552" s="4" t="s">
        <v>2785</v>
      </c>
      <c r="B552" s="4" t="s">
        <v>2786</v>
      </c>
      <c r="C552" s="4" t="s">
        <v>2787</v>
      </c>
      <c r="D552" s="4" t="s">
        <v>2788</v>
      </c>
      <c r="E552" s="4" t="s">
        <v>2789</v>
      </c>
      <c r="F552" s="4" t="s">
        <v>2790</v>
      </c>
      <c r="G552" s="4" t="s">
        <v>2791</v>
      </c>
      <c r="H552" s="4" t="s">
        <v>47</v>
      </c>
      <c r="I552">
        <f t="shared" si="16"/>
        <v>106354.92</v>
      </c>
      <c r="J552">
        <f t="shared" si="17"/>
        <v>-106354.92</v>
      </c>
    </row>
    <row r="553" spans="1:10" ht="15" customHeight="1" x14ac:dyDescent="0.2">
      <c r="A553" s="3" t="s">
        <v>2792</v>
      </c>
      <c r="B553" s="3" t="s">
        <v>2793</v>
      </c>
      <c r="C553" s="3" t="s">
        <v>47</v>
      </c>
      <c r="D553" s="3" t="s">
        <v>47</v>
      </c>
      <c r="E553" s="3" t="s">
        <v>2794</v>
      </c>
      <c r="F553" s="3" t="s">
        <v>2795</v>
      </c>
      <c r="G553" s="3" t="s">
        <v>2796</v>
      </c>
      <c r="H553" s="3" t="s">
        <v>47</v>
      </c>
      <c r="I553">
        <f t="shared" si="16"/>
        <v>6357176.7599999998</v>
      </c>
      <c r="J553">
        <f t="shared" si="17"/>
        <v>-6357176.7599999998</v>
      </c>
    </row>
    <row r="554" spans="1:10" ht="15" customHeight="1" x14ac:dyDescent="0.2">
      <c r="A554" s="4" t="s">
        <v>2797</v>
      </c>
      <c r="B554" s="4" t="s">
        <v>2798</v>
      </c>
      <c r="C554" s="4" t="s">
        <v>2799</v>
      </c>
      <c r="D554" s="4" t="s">
        <v>2800</v>
      </c>
      <c r="E554" s="4" t="s">
        <v>2801</v>
      </c>
      <c r="F554" s="4" t="s">
        <v>2802</v>
      </c>
      <c r="G554" s="4" t="s">
        <v>2803</v>
      </c>
      <c r="H554" s="4" t="s">
        <v>47</v>
      </c>
      <c r="I554">
        <f t="shared" si="16"/>
        <v>6340080.4000000004</v>
      </c>
      <c r="J554">
        <f t="shared" si="17"/>
        <v>-6340080.4000000004</v>
      </c>
    </row>
    <row r="555" spans="1:10" ht="15" customHeight="1" x14ac:dyDescent="0.2">
      <c r="A555" s="3" t="s">
        <v>2804</v>
      </c>
      <c r="B555" s="3" t="s">
        <v>2805</v>
      </c>
      <c r="C555" s="3" t="s">
        <v>2806</v>
      </c>
      <c r="D555" s="3" t="s">
        <v>2807</v>
      </c>
      <c r="E555" s="3" t="s">
        <v>2808</v>
      </c>
      <c r="F555" s="3" t="s">
        <v>2809</v>
      </c>
      <c r="G555" s="3" t="s">
        <v>2810</v>
      </c>
      <c r="H555" s="3" t="s">
        <v>47</v>
      </c>
      <c r="I555">
        <f t="shared" si="16"/>
        <v>17096.36</v>
      </c>
      <c r="J555">
        <f t="shared" si="17"/>
        <v>-17096.36</v>
      </c>
    </row>
    <row r="556" spans="1:10" ht="15" customHeight="1" x14ac:dyDescent="0.2">
      <c r="A556" s="4" t="s">
        <v>2811</v>
      </c>
      <c r="B556" s="4" t="s">
        <v>2812</v>
      </c>
      <c r="C556" s="4" t="s">
        <v>47</v>
      </c>
      <c r="D556" s="4" t="s">
        <v>47</v>
      </c>
      <c r="E556" s="4" t="s">
        <v>2813</v>
      </c>
      <c r="F556" s="4" t="s">
        <v>2814</v>
      </c>
      <c r="G556" s="4" t="s">
        <v>2815</v>
      </c>
      <c r="H556" s="4" t="s">
        <v>47</v>
      </c>
      <c r="I556">
        <f t="shared" si="16"/>
        <v>48886.78</v>
      </c>
      <c r="J556">
        <f t="shared" si="17"/>
        <v>-48886.78</v>
      </c>
    </row>
    <row r="557" spans="1:10" ht="15" customHeight="1" x14ac:dyDescent="0.2">
      <c r="A557" s="3" t="s">
        <v>2816</v>
      </c>
      <c r="B557" s="3" t="s">
        <v>2812</v>
      </c>
      <c r="C557" s="3" t="s">
        <v>2817</v>
      </c>
      <c r="D557" s="3" t="s">
        <v>2818</v>
      </c>
      <c r="E557" s="3" t="s">
        <v>2813</v>
      </c>
      <c r="F557" s="3" t="s">
        <v>2814</v>
      </c>
      <c r="G557" s="3" t="s">
        <v>2815</v>
      </c>
      <c r="H557" s="3" t="s">
        <v>47</v>
      </c>
      <c r="I557">
        <f t="shared" si="16"/>
        <v>48886.78</v>
      </c>
      <c r="J557">
        <f t="shared" si="17"/>
        <v>-48886.78</v>
      </c>
    </row>
    <row r="558" spans="1:10" ht="15" customHeight="1" x14ac:dyDescent="0.2">
      <c r="A558" s="4" t="s">
        <v>2819</v>
      </c>
      <c r="B558" s="4" t="s">
        <v>2820</v>
      </c>
      <c r="C558" s="4" t="s">
        <v>47</v>
      </c>
      <c r="D558" s="4" t="s">
        <v>47</v>
      </c>
      <c r="E558" s="4" t="s">
        <v>2821</v>
      </c>
      <c r="F558" s="4" t="s">
        <v>2822</v>
      </c>
      <c r="G558" s="4" t="s">
        <v>2823</v>
      </c>
      <c r="H558" s="4" t="s">
        <v>47</v>
      </c>
      <c r="I558">
        <f t="shared" si="16"/>
        <v>1356130.73</v>
      </c>
      <c r="J558">
        <f t="shared" si="17"/>
        <v>-1356130.73</v>
      </c>
    </row>
    <row r="559" spans="1:10" ht="15" customHeight="1" x14ac:dyDescent="0.2">
      <c r="A559" s="3" t="s">
        <v>2824</v>
      </c>
      <c r="B559" s="3" t="s">
        <v>2825</v>
      </c>
      <c r="C559" s="3" t="s">
        <v>47</v>
      </c>
      <c r="D559" s="3" t="s">
        <v>47</v>
      </c>
      <c r="E559" s="3" t="s">
        <v>2826</v>
      </c>
      <c r="F559" s="3" t="s">
        <v>2827</v>
      </c>
      <c r="G559" s="3" t="s">
        <v>2828</v>
      </c>
      <c r="H559" s="3" t="s">
        <v>47</v>
      </c>
      <c r="I559">
        <f t="shared" si="16"/>
        <v>468015.05</v>
      </c>
      <c r="J559">
        <f t="shared" si="17"/>
        <v>-468015.05</v>
      </c>
    </row>
    <row r="560" spans="1:10" ht="15" customHeight="1" x14ac:dyDescent="0.2">
      <c r="A560" s="4" t="s">
        <v>2829</v>
      </c>
      <c r="B560" s="4" t="s">
        <v>2825</v>
      </c>
      <c r="C560" s="4" t="s">
        <v>2830</v>
      </c>
      <c r="D560" s="4" t="s">
        <v>2831</v>
      </c>
      <c r="E560" s="4" t="s">
        <v>2832</v>
      </c>
      <c r="F560" s="4" t="s">
        <v>2827</v>
      </c>
      <c r="G560" s="4" t="s">
        <v>2833</v>
      </c>
      <c r="H560" s="4" t="s">
        <v>47</v>
      </c>
      <c r="I560">
        <f t="shared" si="16"/>
        <v>350197.64</v>
      </c>
      <c r="J560">
        <f t="shared" si="17"/>
        <v>-350197.64</v>
      </c>
    </row>
    <row r="561" spans="1:10" ht="15" customHeight="1" x14ac:dyDescent="0.2">
      <c r="A561" s="3" t="s">
        <v>2834</v>
      </c>
      <c r="B561" s="3" t="s">
        <v>2835</v>
      </c>
      <c r="C561" s="3" t="s">
        <v>2836</v>
      </c>
      <c r="D561" s="3" t="s">
        <v>2837</v>
      </c>
      <c r="E561" s="3" t="s">
        <v>47</v>
      </c>
      <c r="F561" s="3" t="s">
        <v>47</v>
      </c>
      <c r="G561" s="3" t="s">
        <v>2838</v>
      </c>
      <c r="H561" s="3" t="s">
        <v>47</v>
      </c>
      <c r="I561">
        <f t="shared" si="16"/>
        <v>65662.649999999994</v>
      </c>
      <c r="J561">
        <f t="shared" si="17"/>
        <v>-65662.649999999994</v>
      </c>
    </row>
    <row r="562" spans="1:10" ht="15" customHeight="1" x14ac:dyDescent="0.2">
      <c r="A562" s="4" t="s">
        <v>2839</v>
      </c>
      <c r="B562" s="4" t="s">
        <v>2840</v>
      </c>
      <c r="C562" s="4" t="s">
        <v>2841</v>
      </c>
      <c r="D562" s="4" t="s">
        <v>47</v>
      </c>
      <c r="E562" s="4" t="s">
        <v>2842</v>
      </c>
      <c r="F562" s="4" t="s">
        <v>47</v>
      </c>
      <c r="G562" s="4" t="s">
        <v>2843</v>
      </c>
      <c r="H562" s="4" t="s">
        <v>47</v>
      </c>
      <c r="I562">
        <f t="shared" si="16"/>
        <v>52154.76</v>
      </c>
      <c r="J562">
        <f t="shared" si="17"/>
        <v>-52154.76</v>
      </c>
    </row>
    <row r="563" spans="1:10" ht="15" customHeight="1" x14ac:dyDescent="0.2">
      <c r="A563" s="3" t="s">
        <v>2844</v>
      </c>
      <c r="B563" s="3" t="s">
        <v>2845</v>
      </c>
      <c r="C563" s="3" t="s">
        <v>47</v>
      </c>
      <c r="D563" s="3" t="s">
        <v>47</v>
      </c>
      <c r="E563" s="3" t="s">
        <v>47</v>
      </c>
      <c r="F563" s="3" t="s">
        <v>47</v>
      </c>
      <c r="G563" s="3" t="s">
        <v>2846</v>
      </c>
      <c r="H563" s="3" t="s">
        <v>47</v>
      </c>
      <c r="I563">
        <f t="shared" si="16"/>
        <v>30.28</v>
      </c>
      <c r="J563">
        <f t="shared" si="17"/>
        <v>-30.28</v>
      </c>
    </row>
    <row r="564" spans="1:10" ht="15" customHeight="1" x14ac:dyDescent="0.2">
      <c r="A564" s="4" t="s">
        <v>2847</v>
      </c>
      <c r="B564" s="4" t="s">
        <v>2845</v>
      </c>
      <c r="C564" s="4" t="s">
        <v>2848</v>
      </c>
      <c r="D564" s="4" t="s">
        <v>2849</v>
      </c>
      <c r="E564" s="4" t="s">
        <v>47</v>
      </c>
      <c r="F564" s="4" t="s">
        <v>47</v>
      </c>
      <c r="G564" s="4" t="s">
        <v>2846</v>
      </c>
      <c r="H564" s="4" t="s">
        <v>47</v>
      </c>
      <c r="I564">
        <f t="shared" si="16"/>
        <v>30.28</v>
      </c>
      <c r="J564">
        <f t="shared" si="17"/>
        <v>-30.28</v>
      </c>
    </row>
    <row r="565" spans="1:10" ht="15" customHeight="1" x14ac:dyDescent="0.2">
      <c r="A565" s="3" t="s">
        <v>2850</v>
      </c>
      <c r="B565" s="3" t="s">
        <v>2851</v>
      </c>
      <c r="C565" s="3" t="s">
        <v>47</v>
      </c>
      <c r="D565" s="3" t="s">
        <v>47</v>
      </c>
      <c r="E565" s="3" t="s">
        <v>47</v>
      </c>
      <c r="F565" s="3" t="s">
        <v>47</v>
      </c>
      <c r="G565" s="3" t="s">
        <v>2852</v>
      </c>
      <c r="H565" s="3" t="s">
        <v>47</v>
      </c>
      <c r="I565">
        <f t="shared" si="16"/>
        <v>393.61</v>
      </c>
      <c r="J565">
        <f t="shared" si="17"/>
        <v>-393.61</v>
      </c>
    </row>
    <row r="566" spans="1:10" ht="15" customHeight="1" x14ac:dyDescent="0.2">
      <c r="A566" s="4" t="s">
        <v>2853</v>
      </c>
      <c r="B566" s="4" t="s">
        <v>2851</v>
      </c>
      <c r="C566" s="4" t="s">
        <v>2854</v>
      </c>
      <c r="D566" s="4" t="s">
        <v>2855</v>
      </c>
      <c r="E566" s="4" t="s">
        <v>47</v>
      </c>
      <c r="F566" s="4" t="s">
        <v>47</v>
      </c>
      <c r="G566" s="4" t="s">
        <v>2852</v>
      </c>
      <c r="H566" s="4" t="s">
        <v>47</v>
      </c>
      <c r="I566">
        <f t="shared" si="16"/>
        <v>393.61</v>
      </c>
      <c r="J566">
        <f t="shared" si="17"/>
        <v>-393.61</v>
      </c>
    </row>
    <row r="567" spans="1:10" ht="15" customHeight="1" x14ac:dyDescent="0.2">
      <c r="A567" s="3" t="s">
        <v>2856</v>
      </c>
      <c r="B567" s="3" t="s">
        <v>2857</v>
      </c>
      <c r="C567" s="3" t="s">
        <v>47</v>
      </c>
      <c r="D567" s="3" t="s">
        <v>47</v>
      </c>
      <c r="E567" s="3" t="s">
        <v>2858</v>
      </c>
      <c r="F567" s="3" t="s">
        <v>2859</v>
      </c>
      <c r="G567" s="3" t="s">
        <v>2860</v>
      </c>
      <c r="H567" s="3" t="s">
        <v>47</v>
      </c>
      <c r="I567">
        <f t="shared" si="16"/>
        <v>887691.79</v>
      </c>
      <c r="J567">
        <f t="shared" si="17"/>
        <v>-887691.79</v>
      </c>
    </row>
    <row r="568" spans="1:10" ht="15" customHeight="1" x14ac:dyDescent="0.2">
      <c r="A568" s="4" t="s">
        <v>2861</v>
      </c>
      <c r="B568" s="4" t="s">
        <v>2862</v>
      </c>
      <c r="C568" s="4" t="s">
        <v>2863</v>
      </c>
      <c r="D568" s="4" t="s">
        <v>2864</v>
      </c>
      <c r="E568" s="4" t="s">
        <v>47</v>
      </c>
      <c r="F568" s="4" t="s">
        <v>47</v>
      </c>
      <c r="G568" s="4" t="s">
        <v>1480</v>
      </c>
      <c r="H568" s="4" t="s">
        <v>47</v>
      </c>
      <c r="I568">
        <f t="shared" si="16"/>
        <v>0.04</v>
      </c>
      <c r="J568">
        <f t="shared" si="17"/>
        <v>-0.04</v>
      </c>
    </row>
    <row r="569" spans="1:10" ht="15" customHeight="1" x14ac:dyDescent="0.2">
      <c r="A569" s="3" t="s">
        <v>2865</v>
      </c>
      <c r="B569" s="3" t="s">
        <v>2866</v>
      </c>
      <c r="C569" s="3" t="s">
        <v>2867</v>
      </c>
      <c r="D569" s="3" t="s">
        <v>2868</v>
      </c>
      <c r="E569" s="3" t="s">
        <v>2869</v>
      </c>
      <c r="F569" s="3" t="s">
        <v>2870</v>
      </c>
      <c r="G569" s="3" t="s">
        <v>2871</v>
      </c>
      <c r="H569" s="3" t="s">
        <v>47</v>
      </c>
      <c r="I569">
        <f t="shared" si="16"/>
        <v>101014.28</v>
      </c>
      <c r="J569">
        <f t="shared" si="17"/>
        <v>-101014.28</v>
      </c>
    </row>
    <row r="570" spans="1:10" ht="15" customHeight="1" x14ac:dyDescent="0.2">
      <c r="A570" s="4" t="s">
        <v>2872</v>
      </c>
      <c r="B570" s="4" t="s">
        <v>2873</v>
      </c>
      <c r="C570" s="4" t="s">
        <v>2874</v>
      </c>
      <c r="D570" s="4" t="s">
        <v>2875</v>
      </c>
      <c r="E570" s="4" t="s">
        <v>2876</v>
      </c>
      <c r="F570" s="4" t="s">
        <v>2877</v>
      </c>
      <c r="G570" s="4" t="s">
        <v>2878</v>
      </c>
      <c r="H570" s="4" t="s">
        <v>47</v>
      </c>
      <c r="I570">
        <f t="shared" si="16"/>
        <v>368914.28</v>
      </c>
      <c r="J570">
        <f t="shared" si="17"/>
        <v>-368914.28</v>
      </c>
    </row>
    <row r="571" spans="1:10" ht="15" customHeight="1" x14ac:dyDescent="0.2">
      <c r="A571" s="3" t="s">
        <v>2879</v>
      </c>
      <c r="B571" s="3" t="s">
        <v>2880</v>
      </c>
      <c r="C571" s="3" t="s">
        <v>2881</v>
      </c>
      <c r="D571" s="3" t="s">
        <v>2882</v>
      </c>
      <c r="E571" s="3" t="s">
        <v>2883</v>
      </c>
      <c r="F571" s="3" t="s">
        <v>47</v>
      </c>
      <c r="G571" s="3" t="s">
        <v>2884</v>
      </c>
      <c r="H571" s="3" t="s">
        <v>47</v>
      </c>
      <c r="I571">
        <f t="shared" si="16"/>
        <v>14312.82</v>
      </c>
      <c r="J571">
        <f t="shared" si="17"/>
        <v>-14312.82</v>
      </c>
    </row>
    <row r="572" spans="1:10" ht="15" customHeight="1" x14ac:dyDescent="0.2">
      <c r="A572" s="4" t="s">
        <v>2885</v>
      </c>
      <c r="B572" s="4" t="s">
        <v>2886</v>
      </c>
      <c r="C572" s="4" t="s">
        <v>2887</v>
      </c>
      <c r="D572" s="4" t="s">
        <v>2888</v>
      </c>
      <c r="E572" s="4" t="s">
        <v>2889</v>
      </c>
      <c r="F572" s="4" t="s">
        <v>2890</v>
      </c>
      <c r="G572" s="4" t="s">
        <v>2891</v>
      </c>
      <c r="H572" s="4" t="s">
        <v>47</v>
      </c>
      <c r="I572">
        <f t="shared" si="16"/>
        <v>403450.38</v>
      </c>
      <c r="J572">
        <f t="shared" si="17"/>
        <v>-403450.38</v>
      </c>
    </row>
    <row r="573" spans="1:10" ht="15" customHeight="1" x14ac:dyDescent="0.2">
      <c r="A573" s="3" t="s">
        <v>2892</v>
      </c>
      <c r="B573" s="3" t="s">
        <v>2893</v>
      </c>
      <c r="C573" s="3" t="s">
        <v>2894</v>
      </c>
      <c r="D573" s="3" t="s">
        <v>2895</v>
      </c>
      <c r="E573" s="3" t="s">
        <v>47</v>
      </c>
      <c r="F573" s="3" t="s">
        <v>47</v>
      </c>
      <c r="G573" s="3" t="s">
        <v>47</v>
      </c>
      <c r="H573" s="3" t="s">
        <v>394</v>
      </c>
      <c r="I573">
        <f t="shared" si="16"/>
        <v>-0.01</v>
      </c>
      <c r="J573">
        <f t="shared" si="17"/>
        <v>0.02</v>
      </c>
    </row>
    <row r="574" spans="1:10" ht="15" customHeight="1" x14ac:dyDescent="0.2">
      <c r="A574" s="4" t="s">
        <v>2896</v>
      </c>
      <c r="B574" s="4" t="s">
        <v>2897</v>
      </c>
      <c r="C574" s="4" t="s">
        <v>47</v>
      </c>
      <c r="D574" s="4" t="s">
        <v>47</v>
      </c>
      <c r="E574" s="4" t="s">
        <v>2898</v>
      </c>
      <c r="F574" s="4" t="s">
        <v>2899</v>
      </c>
      <c r="G574" s="4" t="s">
        <v>2900</v>
      </c>
      <c r="H574" s="4" t="s">
        <v>47</v>
      </c>
      <c r="I574">
        <f t="shared" si="16"/>
        <v>830223.93</v>
      </c>
      <c r="J574">
        <f t="shared" si="17"/>
        <v>-830223.93</v>
      </c>
    </row>
    <row r="575" spans="1:10" ht="15" customHeight="1" x14ac:dyDescent="0.2">
      <c r="A575" s="3" t="s">
        <v>2901</v>
      </c>
      <c r="B575" s="3" t="s">
        <v>2902</v>
      </c>
      <c r="C575" s="3" t="s">
        <v>47</v>
      </c>
      <c r="D575" s="3" t="s">
        <v>47</v>
      </c>
      <c r="E575" s="3" t="s">
        <v>2898</v>
      </c>
      <c r="F575" s="3" t="s">
        <v>2903</v>
      </c>
      <c r="G575" s="3" t="s">
        <v>2904</v>
      </c>
      <c r="H575" s="3" t="s">
        <v>47</v>
      </c>
      <c r="I575">
        <f t="shared" si="16"/>
        <v>708254.2</v>
      </c>
      <c r="J575">
        <f t="shared" si="17"/>
        <v>-708254.2</v>
      </c>
    </row>
    <row r="576" spans="1:10" ht="15" customHeight="1" x14ac:dyDescent="0.2">
      <c r="A576" s="4" t="s">
        <v>2905</v>
      </c>
      <c r="B576" s="4" t="s">
        <v>2902</v>
      </c>
      <c r="C576" s="4" t="s">
        <v>47</v>
      </c>
      <c r="D576" s="4" t="s">
        <v>47</v>
      </c>
      <c r="E576" s="4" t="s">
        <v>2898</v>
      </c>
      <c r="F576" s="4" t="s">
        <v>2903</v>
      </c>
      <c r="G576" s="4" t="s">
        <v>2904</v>
      </c>
      <c r="H576" s="4" t="s">
        <v>47</v>
      </c>
      <c r="I576">
        <f t="shared" si="16"/>
        <v>708254.2</v>
      </c>
      <c r="J576">
        <f t="shared" si="17"/>
        <v>-708254.2</v>
      </c>
    </row>
    <row r="577" spans="1:10" ht="15" customHeight="1" x14ac:dyDescent="0.2">
      <c r="A577" s="3" t="s">
        <v>2906</v>
      </c>
      <c r="B577" s="3" t="s">
        <v>2907</v>
      </c>
      <c r="C577" s="3" t="s">
        <v>47</v>
      </c>
      <c r="D577" s="3" t="s">
        <v>47</v>
      </c>
      <c r="E577" s="3" t="s">
        <v>2898</v>
      </c>
      <c r="F577" s="3" t="s">
        <v>2898</v>
      </c>
      <c r="G577" s="3" t="s">
        <v>2908</v>
      </c>
      <c r="H577" s="3" t="s">
        <v>47</v>
      </c>
      <c r="I577">
        <f t="shared" si="16"/>
        <v>1098023.3799999999</v>
      </c>
      <c r="J577">
        <f t="shared" si="17"/>
        <v>-1098023.3799999999</v>
      </c>
    </row>
    <row r="578" spans="1:10" ht="15" customHeight="1" x14ac:dyDescent="0.2">
      <c r="A578" s="4" t="s">
        <v>2909</v>
      </c>
      <c r="B578" s="4" t="s">
        <v>2910</v>
      </c>
      <c r="C578" s="4" t="s">
        <v>2911</v>
      </c>
      <c r="D578" s="4" t="s">
        <v>2912</v>
      </c>
      <c r="E578" s="4" t="s">
        <v>47</v>
      </c>
      <c r="F578" s="4" t="s">
        <v>47</v>
      </c>
      <c r="G578" s="4" t="s">
        <v>2913</v>
      </c>
      <c r="H578" s="4" t="s">
        <v>47</v>
      </c>
      <c r="I578">
        <f t="shared" si="16"/>
        <v>222846.14</v>
      </c>
      <c r="J578">
        <f t="shared" si="17"/>
        <v>-222846.14</v>
      </c>
    </row>
    <row r="579" spans="1:10" ht="15" customHeight="1" x14ac:dyDescent="0.2">
      <c r="A579" s="3" t="s">
        <v>2914</v>
      </c>
      <c r="B579" s="3" t="s">
        <v>2915</v>
      </c>
      <c r="C579" s="3" t="s">
        <v>2916</v>
      </c>
      <c r="D579" s="3" t="s">
        <v>47</v>
      </c>
      <c r="E579" s="3" t="s">
        <v>47</v>
      </c>
      <c r="F579" s="3" t="s">
        <v>47</v>
      </c>
      <c r="G579" s="3" t="s">
        <v>2916</v>
      </c>
      <c r="H579" s="3" t="s">
        <v>47</v>
      </c>
      <c r="I579">
        <f t="shared" si="16"/>
        <v>57924.85</v>
      </c>
      <c r="J579">
        <f t="shared" si="17"/>
        <v>-57924.85</v>
      </c>
    </row>
    <row r="580" spans="1:10" ht="15" customHeight="1" x14ac:dyDescent="0.2">
      <c r="A580" s="4" t="s">
        <v>2917</v>
      </c>
      <c r="B580" s="4" t="s">
        <v>2918</v>
      </c>
      <c r="C580" s="4" t="s">
        <v>2919</v>
      </c>
      <c r="D580" s="4" t="s">
        <v>2920</v>
      </c>
      <c r="E580" s="4" t="s">
        <v>47</v>
      </c>
      <c r="F580" s="4" t="s">
        <v>47</v>
      </c>
      <c r="G580" s="4" t="s">
        <v>2921</v>
      </c>
      <c r="H580" s="4" t="s">
        <v>47</v>
      </c>
      <c r="I580">
        <f t="shared" ref="I580:I643" si="18">IF(MID(A580,1,1)="1",G580-H580,IF(MID(A580,1,1)="2",H580-G580,"VERIFICAR"))</f>
        <v>301867.28000000003</v>
      </c>
      <c r="J580">
        <f t="shared" ref="J580:J643" si="19">IF(MID(A580,1,1)="1",H580-I580,IF(MID(B580,1,1)="2",I580-H580,IF(MID(A580,1,1)="3",F580-E580,IF(MID(A580,1,1)="4",E580-F580,"VERIFICAR"))))</f>
        <v>-301867.28000000003</v>
      </c>
    </row>
    <row r="581" spans="1:10" ht="15" customHeight="1" x14ac:dyDescent="0.2">
      <c r="A581" s="3" t="s">
        <v>2922</v>
      </c>
      <c r="B581" s="3" t="s">
        <v>2923</v>
      </c>
      <c r="C581" s="3" t="s">
        <v>2924</v>
      </c>
      <c r="D581" s="3" t="s">
        <v>2925</v>
      </c>
      <c r="E581" s="3" t="s">
        <v>47</v>
      </c>
      <c r="F581" s="3" t="s">
        <v>47</v>
      </c>
      <c r="G581" s="3" t="s">
        <v>2926</v>
      </c>
      <c r="H581" s="3" t="s">
        <v>47</v>
      </c>
      <c r="I581">
        <f t="shared" si="18"/>
        <v>190191.59</v>
      </c>
      <c r="J581">
        <f t="shared" si="19"/>
        <v>-190191.59</v>
      </c>
    </row>
    <row r="582" spans="1:10" ht="15" customHeight="1" x14ac:dyDescent="0.2">
      <c r="A582" s="4" t="s">
        <v>2927</v>
      </c>
      <c r="B582" s="4" t="s">
        <v>2928</v>
      </c>
      <c r="C582" s="4" t="s">
        <v>2929</v>
      </c>
      <c r="D582" s="4" t="s">
        <v>47</v>
      </c>
      <c r="E582" s="4" t="s">
        <v>47</v>
      </c>
      <c r="F582" s="4" t="s">
        <v>47</v>
      </c>
      <c r="G582" s="4" t="s">
        <v>2929</v>
      </c>
      <c r="H582" s="4" t="s">
        <v>47</v>
      </c>
      <c r="I582">
        <f t="shared" si="18"/>
        <v>15692</v>
      </c>
      <c r="J582">
        <f t="shared" si="19"/>
        <v>-15692</v>
      </c>
    </row>
    <row r="583" spans="1:10" ht="15" customHeight="1" x14ac:dyDescent="0.2">
      <c r="A583" s="3" t="s">
        <v>2930</v>
      </c>
      <c r="B583" s="3" t="s">
        <v>2931</v>
      </c>
      <c r="C583" s="3" t="s">
        <v>2932</v>
      </c>
      <c r="D583" s="3" t="s">
        <v>2933</v>
      </c>
      <c r="E583" s="3" t="s">
        <v>2898</v>
      </c>
      <c r="F583" s="3" t="s">
        <v>2898</v>
      </c>
      <c r="G583" s="3" t="s">
        <v>2934</v>
      </c>
      <c r="H583" s="3" t="s">
        <v>47</v>
      </c>
      <c r="I583">
        <f t="shared" si="18"/>
        <v>309501.52</v>
      </c>
      <c r="J583">
        <f t="shared" si="19"/>
        <v>-309501.52</v>
      </c>
    </row>
    <row r="584" spans="1:10" ht="15" customHeight="1" x14ac:dyDescent="0.2">
      <c r="A584" s="4" t="s">
        <v>2935</v>
      </c>
      <c r="B584" s="4" t="s">
        <v>2936</v>
      </c>
      <c r="C584" s="4" t="s">
        <v>47</v>
      </c>
      <c r="D584" s="4" t="s">
        <v>47</v>
      </c>
      <c r="E584" s="4" t="s">
        <v>47</v>
      </c>
      <c r="F584" s="4" t="s">
        <v>2937</v>
      </c>
      <c r="G584" s="4" t="s">
        <v>47</v>
      </c>
      <c r="H584" s="4" t="s">
        <v>2938</v>
      </c>
      <c r="I584">
        <f t="shared" si="18"/>
        <v>-389769.18</v>
      </c>
      <c r="J584">
        <f t="shared" si="19"/>
        <v>779538.36</v>
      </c>
    </row>
    <row r="585" spans="1:10" ht="15" customHeight="1" x14ac:dyDescent="0.2">
      <c r="A585" s="3" t="s">
        <v>2939</v>
      </c>
      <c r="B585" s="3" t="s">
        <v>2910</v>
      </c>
      <c r="C585" s="3" t="s">
        <v>2940</v>
      </c>
      <c r="D585" s="3" t="s">
        <v>2941</v>
      </c>
      <c r="E585" s="3" t="s">
        <v>47</v>
      </c>
      <c r="F585" s="3" t="s">
        <v>2942</v>
      </c>
      <c r="G585" s="3" t="s">
        <v>47</v>
      </c>
      <c r="H585" s="3" t="s">
        <v>2943</v>
      </c>
      <c r="I585">
        <f t="shared" si="18"/>
        <v>-69756.94</v>
      </c>
      <c r="J585">
        <f t="shared" si="19"/>
        <v>139513.88</v>
      </c>
    </row>
    <row r="586" spans="1:10" ht="15" customHeight="1" x14ac:dyDescent="0.2">
      <c r="A586" s="4" t="s">
        <v>2944</v>
      </c>
      <c r="B586" s="4" t="s">
        <v>2915</v>
      </c>
      <c r="C586" s="4" t="s">
        <v>2945</v>
      </c>
      <c r="D586" s="4" t="s">
        <v>2946</v>
      </c>
      <c r="E586" s="4" t="s">
        <v>47</v>
      </c>
      <c r="F586" s="4" t="s">
        <v>2947</v>
      </c>
      <c r="G586" s="4" t="s">
        <v>47</v>
      </c>
      <c r="H586" s="4" t="s">
        <v>2948</v>
      </c>
      <c r="I586">
        <f t="shared" si="18"/>
        <v>-28590.27</v>
      </c>
      <c r="J586">
        <f t="shared" si="19"/>
        <v>57180.54</v>
      </c>
    </row>
    <row r="587" spans="1:10" ht="15" customHeight="1" x14ac:dyDescent="0.2">
      <c r="A587" s="3" t="s">
        <v>2949</v>
      </c>
      <c r="B587" s="3" t="s">
        <v>2918</v>
      </c>
      <c r="C587" s="3" t="s">
        <v>2950</v>
      </c>
      <c r="D587" s="3" t="s">
        <v>2951</v>
      </c>
      <c r="E587" s="3" t="s">
        <v>47</v>
      </c>
      <c r="F587" s="3" t="s">
        <v>2952</v>
      </c>
      <c r="G587" s="3" t="s">
        <v>47</v>
      </c>
      <c r="H587" s="3" t="s">
        <v>2953</v>
      </c>
      <c r="I587">
        <f t="shared" si="18"/>
        <v>-82777.05</v>
      </c>
      <c r="J587">
        <f t="shared" si="19"/>
        <v>165554.1</v>
      </c>
    </row>
    <row r="588" spans="1:10" ht="15" customHeight="1" x14ac:dyDescent="0.2">
      <c r="A588" s="4" t="s">
        <v>2954</v>
      </c>
      <c r="B588" s="4" t="s">
        <v>2923</v>
      </c>
      <c r="C588" s="4" t="s">
        <v>2955</v>
      </c>
      <c r="D588" s="4" t="s">
        <v>2956</v>
      </c>
      <c r="E588" s="4" t="s">
        <v>47</v>
      </c>
      <c r="F588" s="4" t="s">
        <v>2957</v>
      </c>
      <c r="G588" s="4" t="s">
        <v>47</v>
      </c>
      <c r="H588" s="4" t="s">
        <v>2958</v>
      </c>
      <c r="I588">
        <f t="shared" si="18"/>
        <v>-146006.95000000001</v>
      </c>
      <c r="J588">
        <f t="shared" si="19"/>
        <v>292013.90000000002</v>
      </c>
    </row>
    <row r="589" spans="1:10" ht="15" customHeight="1" x14ac:dyDescent="0.2">
      <c r="A589" s="3" t="s">
        <v>2959</v>
      </c>
      <c r="B589" s="3" t="s">
        <v>2928</v>
      </c>
      <c r="C589" s="3" t="s">
        <v>47</v>
      </c>
      <c r="D589" s="3" t="s">
        <v>2960</v>
      </c>
      <c r="E589" s="3" t="s">
        <v>47</v>
      </c>
      <c r="F589" s="3" t="s">
        <v>2961</v>
      </c>
      <c r="G589" s="3" t="s">
        <v>47</v>
      </c>
      <c r="H589" s="3" t="s">
        <v>2962</v>
      </c>
      <c r="I589">
        <f t="shared" si="18"/>
        <v>-4160.82</v>
      </c>
      <c r="J589">
        <f t="shared" si="19"/>
        <v>8321.64</v>
      </c>
    </row>
    <row r="590" spans="1:10" ht="15" customHeight="1" x14ac:dyDescent="0.2">
      <c r="A590" s="4" t="s">
        <v>2963</v>
      </c>
      <c r="B590" s="4" t="s">
        <v>2931</v>
      </c>
      <c r="C590" s="4" t="s">
        <v>47</v>
      </c>
      <c r="D590" s="4" t="s">
        <v>2964</v>
      </c>
      <c r="E590" s="4" t="s">
        <v>47</v>
      </c>
      <c r="F590" s="4" t="s">
        <v>2965</v>
      </c>
      <c r="G590" s="4" t="s">
        <v>47</v>
      </c>
      <c r="H590" s="4" t="s">
        <v>2966</v>
      </c>
      <c r="I590">
        <f t="shared" si="18"/>
        <v>-58477.15</v>
      </c>
      <c r="J590">
        <f t="shared" si="19"/>
        <v>116954.3</v>
      </c>
    </row>
    <row r="591" spans="1:10" ht="15" customHeight="1" x14ac:dyDescent="0.2">
      <c r="A591" s="3" t="s">
        <v>2967</v>
      </c>
      <c r="B591" s="3" t="s">
        <v>2968</v>
      </c>
      <c r="C591" s="3" t="s">
        <v>47</v>
      </c>
      <c r="D591" s="3" t="s">
        <v>47</v>
      </c>
      <c r="E591" s="3" t="s">
        <v>47</v>
      </c>
      <c r="F591" s="3" t="s">
        <v>2969</v>
      </c>
      <c r="G591" s="3" t="s">
        <v>2970</v>
      </c>
      <c r="H591" s="3" t="s">
        <v>47</v>
      </c>
      <c r="I591">
        <f t="shared" si="18"/>
        <v>121969.73</v>
      </c>
      <c r="J591">
        <f t="shared" si="19"/>
        <v>-121969.73</v>
      </c>
    </row>
    <row r="592" spans="1:10" ht="15" customHeight="1" x14ac:dyDescent="0.2">
      <c r="A592" s="4" t="s">
        <v>2971</v>
      </c>
      <c r="B592" s="4" t="s">
        <v>2968</v>
      </c>
      <c r="C592" s="4" t="s">
        <v>47</v>
      </c>
      <c r="D592" s="4" t="s">
        <v>47</v>
      </c>
      <c r="E592" s="4" t="s">
        <v>47</v>
      </c>
      <c r="F592" s="4" t="s">
        <v>2969</v>
      </c>
      <c r="G592" s="4" t="s">
        <v>2970</v>
      </c>
      <c r="H592" s="4" t="s">
        <v>47</v>
      </c>
      <c r="I592">
        <f t="shared" si="18"/>
        <v>121969.73</v>
      </c>
      <c r="J592">
        <f t="shared" si="19"/>
        <v>-121969.73</v>
      </c>
    </row>
    <row r="593" spans="1:10" ht="15" customHeight="1" x14ac:dyDescent="0.2">
      <c r="A593" s="3" t="s">
        <v>2972</v>
      </c>
      <c r="B593" s="3" t="s">
        <v>2968</v>
      </c>
      <c r="C593" s="3" t="s">
        <v>47</v>
      </c>
      <c r="D593" s="3" t="s">
        <v>47</v>
      </c>
      <c r="E593" s="3" t="s">
        <v>47</v>
      </c>
      <c r="F593" s="3" t="s">
        <v>47</v>
      </c>
      <c r="G593" s="3" t="s">
        <v>2973</v>
      </c>
      <c r="H593" s="3" t="s">
        <v>47</v>
      </c>
      <c r="I593">
        <f t="shared" si="18"/>
        <v>215971.51</v>
      </c>
      <c r="J593">
        <f t="shared" si="19"/>
        <v>-215971.51</v>
      </c>
    </row>
    <row r="594" spans="1:10" ht="15" customHeight="1" x14ac:dyDescent="0.2">
      <c r="A594" s="4" t="s">
        <v>2974</v>
      </c>
      <c r="B594" s="4" t="s">
        <v>2975</v>
      </c>
      <c r="C594" s="4" t="s">
        <v>2973</v>
      </c>
      <c r="D594" s="4" t="s">
        <v>47</v>
      </c>
      <c r="E594" s="4" t="s">
        <v>47</v>
      </c>
      <c r="F594" s="4" t="s">
        <v>47</v>
      </c>
      <c r="G594" s="4" t="s">
        <v>2973</v>
      </c>
      <c r="H594" s="4" t="s">
        <v>47</v>
      </c>
      <c r="I594">
        <f t="shared" si="18"/>
        <v>215971.51</v>
      </c>
      <c r="J594">
        <f t="shared" si="19"/>
        <v>-215971.51</v>
      </c>
    </row>
    <row r="595" spans="1:10" ht="15" customHeight="1" x14ac:dyDescent="0.2">
      <c r="A595" s="3" t="s">
        <v>2976</v>
      </c>
      <c r="B595" s="3" t="s">
        <v>2977</v>
      </c>
      <c r="C595" s="3" t="s">
        <v>47</v>
      </c>
      <c r="D595" s="3" t="s">
        <v>47</v>
      </c>
      <c r="E595" s="3" t="s">
        <v>47</v>
      </c>
      <c r="F595" s="3" t="s">
        <v>2969</v>
      </c>
      <c r="G595" s="3" t="s">
        <v>47</v>
      </c>
      <c r="H595" s="3" t="s">
        <v>2978</v>
      </c>
      <c r="I595">
        <f t="shared" si="18"/>
        <v>-94001.78</v>
      </c>
      <c r="J595">
        <f t="shared" si="19"/>
        <v>188003.56</v>
      </c>
    </row>
    <row r="596" spans="1:10" ht="15" customHeight="1" x14ac:dyDescent="0.2">
      <c r="A596" s="4" t="s">
        <v>2979</v>
      </c>
      <c r="B596" s="4" t="s">
        <v>2975</v>
      </c>
      <c r="C596" s="4" t="s">
        <v>1214</v>
      </c>
      <c r="D596" s="4" t="s">
        <v>2980</v>
      </c>
      <c r="E596" s="4" t="s">
        <v>47</v>
      </c>
      <c r="F596" s="4" t="s">
        <v>2969</v>
      </c>
      <c r="G596" s="4" t="s">
        <v>47</v>
      </c>
      <c r="H596" s="4" t="s">
        <v>2978</v>
      </c>
      <c r="I596">
        <f t="shared" si="18"/>
        <v>-94001.78</v>
      </c>
      <c r="J596">
        <f t="shared" si="19"/>
        <v>188003.56</v>
      </c>
    </row>
    <row r="597" spans="1:10" ht="15" customHeight="1" x14ac:dyDescent="0.2">
      <c r="A597" s="3" t="s">
        <v>2981</v>
      </c>
      <c r="B597" s="3" t="s">
        <v>2982</v>
      </c>
      <c r="C597" s="3" t="s">
        <v>47</v>
      </c>
      <c r="D597" s="3" t="s">
        <v>47</v>
      </c>
      <c r="E597" s="3" t="s">
        <v>2983</v>
      </c>
      <c r="F597" s="3" t="s">
        <v>2984</v>
      </c>
      <c r="G597" s="3" t="s">
        <v>47</v>
      </c>
      <c r="H597" s="3" t="s">
        <v>2985</v>
      </c>
      <c r="I597">
        <f t="shared" si="18"/>
        <v>12736797.52</v>
      </c>
      <c r="J597" t="str">
        <f t="shared" si="19"/>
        <v>VERIFICAR</v>
      </c>
    </row>
    <row r="598" spans="1:10" ht="15" customHeight="1" x14ac:dyDescent="0.2">
      <c r="A598" s="4" t="s">
        <v>2986</v>
      </c>
      <c r="B598" s="4" t="s">
        <v>52</v>
      </c>
      <c r="C598" s="4" t="s">
        <v>47</v>
      </c>
      <c r="D598" s="4" t="s">
        <v>47</v>
      </c>
      <c r="E598" s="4" t="s">
        <v>2987</v>
      </c>
      <c r="F598" s="4" t="s">
        <v>2988</v>
      </c>
      <c r="G598" s="4" t="s">
        <v>47</v>
      </c>
      <c r="H598" s="4" t="s">
        <v>2989</v>
      </c>
      <c r="I598">
        <f t="shared" si="18"/>
        <v>6930712.46</v>
      </c>
      <c r="J598" t="str">
        <f t="shared" si="19"/>
        <v>VERIFICAR</v>
      </c>
    </row>
    <row r="599" spans="1:10" ht="15" customHeight="1" x14ac:dyDescent="0.2">
      <c r="A599" s="3" t="s">
        <v>2990</v>
      </c>
      <c r="B599" s="3" t="s">
        <v>52</v>
      </c>
      <c r="C599" s="3" t="s">
        <v>47</v>
      </c>
      <c r="D599" s="3" t="s">
        <v>47</v>
      </c>
      <c r="E599" s="3" t="s">
        <v>2987</v>
      </c>
      <c r="F599" s="3" t="s">
        <v>2988</v>
      </c>
      <c r="G599" s="3" t="s">
        <v>47</v>
      </c>
      <c r="H599" s="3" t="s">
        <v>2989</v>
      </c>
      <c r="I599">
        <f t="shared" si="18"/>
        <v>6930712.46</v>
      </c>
      <c r="J599" t="str">
        <f t="shared" si="19"/>
        <v>VERIFICAR</v>
      </c>
    </row>
    <row r="600" spans="1:10" ht="15" customHeight="1" x14ac:dyDescent="0.2">
      <c r="A600" s="4" t="s">
        <v>2991</v>
      </c>
      <c r="B600" s="4" t="s">
        <v>2992</v>
      </c>
      <c r="C600" s="4" t="s">
        <v>47</v>
      </c>
      <c r="D600" s="4" t="s">
        <v>47</v>
      </c>
      <c r="E600" s="4" t="s">
        <v>2993</v>
      </c>
      <c r="F600" s="4" t="s">
        <v>2994</v>
      </c>
      <c r="G600" s="4" t="s">
        <v>47</v>
      </c>
      <c r="H600" s="4" t="s">
        <v>2995</v>
      </c>
      <c r="I600">
        <f t="shared" si="18"/>
        <v>1456899.16</v>
      </c>
      <c r="J600" t="str">
        <f t="shared" si="19"/>
        <v>VERIFICAR</v>
      </c>
    </row>
    <row r="601" spans="1:10" ht="15" customHeight="1" x14ac:dyDescent="0.2">
      <c r="A601" s="3" t="s">
        <v>2996</v>
      </c>
      <c r="B601" s="3" t="s">
        <v>2997</v>
      </c>
      <c r="C601" s="3" t="s">
        <v>47</v>
      </c>
      <c r="D601" s="3" t="s">
        <v>47</v>
      </c>
      <c r="E601" s="3" t="s">
        <v>2998</v>
      </c>
      <c r="F601" s="3" t="s">
        <v>2999</v>
      </c>
      <c r="G601" s="3" t="s">
        <v>47</v>
      </c>
      <c r="H601" s="3" t="s">
        <v>3000</v>
      </c>
      <c r="I601">
        <f t="shared" si="18"/>
        <v>494960.36</v>
      </c>
      <c r="J601" t="str">
        <f t="shared" si="19"/>
        <v>VERIFICAR</v>
      </c>
    </row>
    <row r="602" spans="1:10" ht="15" customHeight="1" x14ac:dyDescent="0.2">
      <c r="A602" s="4" t="s">
        <v>3001</v>
      </c>
      <c r="B602" s="4" t="s">
        <v>134</v>
      </c>
      <c r="C602" s="4" t="s">
        <v>3002</v>
      </c>
      <c r="D602" s="4" t="s">
        <v>3002</v>
      </c>
      <c r="E602" s="4" t="s">
        <v>804</v>
      </c>
      <c r="F602" s="4" t="s">
        <v>804</v>
      </c>
      <c r="G602" s="4" t="s">
        <v>47</v>
      </c>
      <c r="H602" s="4" t="s">
        <v>47</v>
      </c>
      <c r="I602">
        <f t="shared" si="18"/>
        <v>0</v>
      </c>
      <c r="J602" t="str">
        <f t="shared" si="19"/>
        <v>VERIFICAR</v>
      </c>
    </row>
    <row r="603" spans="1:10" ht="15" customHeight="1" x14ac:dyDescent="0.2">
      <c r="A603" s="3" t="s">
        <v>3003</v>
      </c>
      <c r="B603" s="3" t="s">
        <v>3004</v>
      </c>
      <c r="C603" s="3" t="s">
        <v>3005</v>
      </c>
      <c r="D603" s="3" t="s">
        <v>3006</v>
      </c>
      <c r="E603" s="3" t="s">
        <v>3007</v>
      </c>
      <c r="F603" s="3" t="s">
        <v>3007</v>
      </c>
      <c r="G603" s="3" t="s">
        <v>47</v>
      </c>
      <c r="H603" s="3" t="s">
        <v>3008</v>
      </c>
      <c r="I603">
        <f t="shared" si="18"/>
        <v>1080.05</v>
      </c>
      <c r="J603" t="str">
        <f t="shared" si="19"/>
        <v>VERIFICAR</v>
      </c>
    </row>
    <row r="604" spans="1:10" ht="15" customHeight="1" x14ac:dyDescent="0.2">
      <c r="A604" s="4" t="s">
        <v>3009</v>
      </c>
      <c r="B604" s="4" t="s">
        <v>3010</v>
      </c>
      <c r="C604" s="4" t="s">
        <v>3011</v>
      </c>
      <c r="D604" s="4" t="s">
        <v>3012</v>
      </c>
      <c r="E604" s="4" t="s">
        <v>3013</v>
      </c>
      <c r="F604" s="4" t="s">
        <v>47</v>
      </c>
      <c r="G604" s="4" t="s">
        <v>3014</v>
      </c>
      <c r="H604" s="4" t="s">
        <v>47</v>
      </c>
      <c r="I604">
        <f t="shared" si="18"/>
        <v>-0.09</v>
      </c>
      <c r="J604" t="str">
        <f t="shared" si="19"/>
        <v>VERIFICAR</v>
      </c>
    </row>
    <row r="605" spans="1:10" ht="15" customHeight="1" x14ac:dyDescent="0.2">
      <c r="A605" s="3" t="s">
        <v>3015</v>
      </c>
      <c r="B605" s="3" t="s">
        <v>3016</v>
      </c>
      <c r="C605" s="3" t="s">
        <v>3017</v>
      </c>
      <c r="D605" s="3" t="s">
        <v>3018</v>
      </c>
      <c r="E605" s="3" t="s">
        <v>3019</v>
      </c>
      <c r="F605" s="3" t="s">
        <v>3019</v>
      </c>
      <c r="G605" s="3" t="s">
        <v>47</v>
      </c>
      <c r="H605" s="3" t="s">
        <v>3020</v>
      </c>
      <c r="I605">
        <f t="shared" si="18"/>
        <v>1716.34</v>
      </c>
      <c r="J605" t="str">
        <f t="shared" si="19"/>
        <v>VERIFICAR</v>
      </c>
    </row>
    <row r="606" spans="1:10" ht="15" customHeight="1" x14ac:dyDescent="0.2">
      <c r="A606" s="4" t="s">
        <v>3021</v>
      </c>
      <c r="B606" s="4" t="s">
        <v>3022</v>
      </c>
      <c r="C606" s="4" t="s">
        <v>3023</v>
      </c>
      <c r="D606" s="4" t="s">
        <v>3024</v>
      </c>
      <c r="E606" s="4" t="s">
        <v>3025</v>
      </c>
      <c r="F606" s="4" t="s">
        <v>3025</v>
      </c>
      <c r="G606" s="4" t="s">
        <v>47</v>
      </c>
      <c r="H606" s="4" t="s">
        <v>3026</v>
      </c>
      <c r="I606">
        <f t="shared" si="18"/>
        <v>380.78</v>
      </c>
      <c r="J606" t="str">
        <f t="shared" si="19"/>
        <v>VERIFICAR</v>
      </c>
    </row>
    <row r="607" spans="1:10" ht="15" customHeight="1" x14ac:dyDescent="0.2">
      <c r="A607" s="3" t="s">
        <v>3027</v>
      </c>
      <c r="B607" s="3" t="s">
        <v>3028</v>
      </c>
      <c r="C607" s="3" t="s">
        <v>3029</v>
      </c>
      <c r="D607" s="3" t="s">
        <v>3030</v>
      </c>
      <c r="E607" s="3" t="s">
        <v>47</v>
      </c>
      <c r="F607" s="3" t="s">
        <v>3031</v>
      </c>
      <c r="G607" s="3" t="s">
        <v>47</v>
      </c>
      <c r="H607" s="3" t="s">
        <v>3032</v>
      </c>
      <c r="I607">
        <f t="shared" si="18"/>
        <v>936.57</v>
      </c>
      <c r="J607" t="str">
        <f t="shared" si="19"/>
        <v>VERIFICAR</v>
      </c>
    </row>
    <row r="608" spans="1:10" ht="15" customHeight="1" x14ac:dyDescent="0.2">
      <c r="A608" s="4" t="s">
        <v>3033</v>
      </c>
      <c r="B608" s="4" t="s">
        <v>3034</v>
      </c>
      <c r="C608" s="4" t="s">
        <v>3035</v>
      </c>
      <c r="D608" s="4" t="s">
        <v>3036</v>
      </c>
      <c r="E608" s="4" t="s">
        <v>47</v>
      </c>
      <c r="F608" s="4" t="s">
        <v>47</v>
      </c>
      <c r="G608" s="4" t="s">
        <v>3037</v>
      </c>
      <c r="H608" s="4" t="s">
        <v>47</v>
      </c>
      <c r="I608">
        <f t="shared" si="18"/>
        <v>-246.94</v>
      </c>
      <c r="J608" t="str">
        <f t="shared" si="19"/>
        <v>VERIFICAR</v>
      </c>
    </row>
    <row r="609" spans="1:10" ht="15" customHeight="1" x14ac:dyDescent="0.2">
      <c r="A609" s="3" t="s">
        <v>3038</v>
      </c>
      <c r="B609" s="3" t="s">
        <v>3039</v>
      </c>
      <c r="C609" s="3" t="s">
        <v>3040</v>
      </c>
      <c r="D609" s="3" t="s">
        <v>3041</v>
      </c>
      <c r="E609" s="3" t="s">
        <v>47</v>
      </c>
      <c r="F609" s="3" t="s">
        <v>47</v>
      </c>
      <c r="G609" s="3" t="s">
        <v>47</v>
      </c>
      <c r="H609" s="3" t="s">
        <v>3042</v>
      </c>
      <c r="I609">
        <f t="shared" si="18"/>
        <v>180</v>
      </c>
      <c r="J609" t="str">
        <f t="shared" si="19"/>
        <v>VERIFICAR</v>
      </c>
    </row>
    <row r="610" spans="1:10" ht="15" customHeight="1" x14ac:dyDescent="0.2">
      <c r="A610" s="4" t="s">
        <v>3043</v>
      </c>
      <c r="B610" s="4" t="s">
        <v>3044</v>
      </c>
      <c r="C610" s="4" t="s">
        <v>3045</v>
      </c>
      <c r="D610" s="4" t="s">
        <v>3045</v>
      </c>
      <c r="E610" s="4" t="s">
        <v>337</v>
      </c>
      <c r="F610" s="4" t="s">
        <v>3046</v>
      </c>
      <c r="G610" s="4" t="s">
        <v>47</v>
      </c>
      <c r="H610" s="4" t="s">
        <v>3047</v>
      </c>
      <c r="I610">
        <f t="shared" si="18"/>
        <v>1782</v>
      </c>
      <c r="J610" t="str">
        <f t="shared" si="19"/>
        <v>VERIFICAR</v>
      </c>
    </row>
    <row r="611" spans="1:10" ht="15" customHeight="1" x14ac:dyDescent="0.2">
      <c r="A611" s="3" t="s">
        <v>3048</v>
      </c>
      <c r="B611" s="3" t="s">
        <v>3049</v>
      </c>
      <c r="C611" s="3" t="s">
        <v>3050</v>
      </c>
      <c r="D611" s="3" t="s">
        <v>3051</v>
      </c>
      <c r="E611" s="3" t="s">
        <v>3052</v>
      </c>
      <c r="F611" s="3" t="s">
        <v>3053</v>
      </c>
      <c r="G611" s="3" t="s">
        <v>47</v>
      </c>
      <c r="H611" s="3" t="s">
        <v>3054</v>
      </c>
      <c r="I611">
        <f t="shared" si="18"/>
        <v>22272.9</v>
      </c>
      <c r="J611" t="str">
        <f t="shared" si="19"/>
        <v>VERIFICAR</v>
      </c>
    </row>
    <row r="612" spans="1:10" ht="15" customHeight="1" x14ac:dyDescent="0.2">
      <c r="A612" s="4" t="s">
        <v>3055</v>
      </c>
      <c r="B612" s="4" t="s">
        <v>3056</v>
      </c>
      <c r="C612" s="4" t="s">
        <v>3057</v>
      </c>
      <c r="D612" s="4" t="s">
        <v>3058</v>
      </c>
      <c r="E612" s="4" t="s">
        <v>3059</v>
      </c>
      <c r="F612" s="4" t="s">
        <v>3060</v>
      </c>
      <c r="G612" s="4" t="s">
        <v>47</v>
      </c>
      <c r="H612" s="4" t="s">
        <v>3061</v>
      </c>
      <c r="I612">
        <f t="shared" si="18"/>
        <v>463.38</v>
      </c>
      <c r="J612" t="str">
        <f t="shared" si="19"/>
        <v>VERIFICAR</v>
      </c>
    </row>
    <row r="613" spans="1:10" ht="15" customHeight="1" x14ac:dyDescent="0.2">
      <c r="A613" s="3" t="s">
        <v>3062</v>
      </c>
      <c r="B613" s="3" t="s">
        <v>3063</v>
      </c>
      <c r="C613" s="3" t="s">
        <v>3064</v>
      </c>
      <c r="D613" s="3" t="s">
        <v>3065</v>
      </c>
      <c r="E613" s="3" t="s">
        <v>3066</v>
      </c>
      <c r="F613" s="3" t="s">
        <v>3067</v>
      </c>
      <c r="G613" s="3" t="s">
        <v>47</v>
      </c>
      <c r="H613" s="3" t="s">
        <v>3068</v>
      </c>
      <c r="I613">
        <f t="shared" si="18"/>
        <v>20857.04</v>
      </c>
      <c r="J613" t="str">
        <f t="shared" si="19"/>
        <v>VERIFICAR</v>
      </c>
    </row>
    <row r="614" spans="1:10" ht="15" customHeight="1" x14ac:dyDescent="0.2">
      <c r="A614" s="4" t="s">
        <v>3069</v>
      </c>
      <c r="B614" s="4" t="s">
        <v>3070</v>
      </c>
      <c r="C614" s="4" t="s">
        <v>3071</v>
      </c>
      <c r="D614" s="4" t="s">
        <v>3071</v>
      </c>
      <c r="E614" s="4" t="s">
        <v>3072</v>
      </c>
      <c r="F614" s="4" t="s">
        <v>3072</v>
      </c>
      <c r="G614" s="4" t="s">
        <v>47</v>
      </c>
      <c r="H614" s="4" t="s">
        <v>47</v>
      </c>
      <c r="I614">
        <f t="shared" si="18"/>
        <v>0</v>
      </c>
      <c r="J614" t="str">
        <f t="shared" si="19"/>
        <v>VERIFICAR</v>
      </c>
    </row>
    <row r="615" spans="1:10" ht="15" customHeight="1" x14ac:dyDescent="0.2">
      <c r="A615" s="3" t="s">
        <v>3073</v>
      </c>
      <c r="B615" s="3" t="s">
        <v>3074</v>
      </c>
      <c r="C615" s="3" t="s">
        <v>3075</v>
      </c>
      <c r="D615" s="3" t="s">
        <v>3076</v>
      </c>
      <c r="E615" s="3" t="s">
        <v>47</v>
      </c>
      <c r="F615" s="3" t="s">
        <v>47</v>
      </c>
      <c r="G615" s="3" t="s">
        <v>47</v>
      </c>
      <c r="H615" s="3" t="s">
        <v>3077</v>
      </c>
      <c r="I615">
        <f t="shared" si="18"/>
        <v>1391.43</v>
      </c>
      <c r="J615" t="str">
        <f t="shared" si="19"/>
        <v>VERIFICAR</v>
      </c>
    </row>
    <row r="616" spans="1:10" ht="15" customHeight="1" x14ac:dyDescent="0.2">
      <c r="A616" s="4" t="s">
        <v>3078</v>
      </c>
      <c r="B616" s="4" t="s">
        <v>3079</v>
      </c>
      <c r="C616" s="4" t="s">
        <v>3080</v>
      </c>
      <c r="D616" s="4" t="s">
        <v>3081</v>
      </c>
      <c r="E616" s="4" t="s">
        <v>47</v>
      </c>
      <c r="F616" s="4" t="s">
        <v>47</v>
      </c>
      <c r="G616" s="4" t="s">
        <v>3082</v>
      </c>
      <c r="H616" s="4" t="s">
        <v>47</v>
      </c>
      <c r="I616">
        <f t="shared" si="18"/>
        <v>-273.89999999999998</v>
      </c>
      <c r="J616" t="str">
        <f t="shared" si="19"/>
        <v>VERIFICAR</v>
      </c>
    </row>
    <row r="617" spans="1:10" ht="15" customHeight="1" x14ac:dyDescent="0.2">
      <c r="A617" s="3" t="s">
        <v>3083</v>
      </c>
      <c r="B617" s="3" t="s">
        <v>3084</v>
      </c>
      <c r="C617" s="3" t="s">
        <v>3085</v>
      </c>
      <c r="D617" s="3" t="s">
        <v>3086</v>
      </c>
      <c r="E617" s="3" t="s">
        <v>3087</v>
      </c>
      <c r="F617" s="3" t="s">
        <v>3088</v>
      </c>
      <c r="G617" s="3" t="s">
        <v>47</v>
      </c>
      <c r="H617" s="3" t="s">
        <v>3089</v>
      </c>
      <c r="I617">
        <f t="shared" si="18"/>
        <v>563.79999999999995</v>
      </c>
      <c r="J617" t="str">
        <f t="shared" si="19"/>
        <v>VERIFICAR</v>
      </c>
    </row>
    <row r="618" spans="1:10" ht="15" customHeight="1" x14ac:dyDescent="0.2">
      <c r="A618" s="4" t="s">
        <v>3090</v>
      </c>
      <c r="B618" s="4" t="s">
        <v>3091</v>
      </c>
      <c r="C618" s="4" t="s">
        <v>3092</v>
      </c>
      <c r="D618" s="4" t="s">
        <v>3093</v>
      </c>
      <c r="E618" s="4" t="s">
        <v>47</v>
      </c>
      <c r="F618" s="4" t="s">
        <v>47</v>
      </c>
      <c r="G618" s="4" t="s">
        <v>47</v>
      </c>
      <c r="H618" s="4" t="s">
        <v>3094</v>
      </c>
      <c r="I618">
        <f t="shared" si="18"/>
        <v>118.85</v>
      </c>
      <c r="J618" t="str">
        <f t="shared" si="19"/>
        <v>VERIFICAR</v>
      </c>
    </row>
    <row r="619" spans="1:10" ht="15" customHeight="1" x14ac:dyDescent="0.2">
      <c r="A619" s="3" t="s">
        <v>3095</v>
      </c>
      <c r="B619" s="3" t="s">
        <v>3096</v>
      </c>
      <c r="C619" s="3" t="s">
        <v>3097</v>
      </c>
      <c r="D619" s="3" t="s">
        <v>3097</v>
      </c>
      <c r="E619" s="3" t="s">
        <v>3098</v>
      </c>
      <c r="F619" s="3" t="s">
        <v>3098</v>
      </c>
      <c r="G619" s="3" t="s">
        <v>47</v>
      </c>
      <c r="H619" s="3" t="s">
        <v>47</v>
      </c>
      <c r="I619">
        <f t="shared" si="18"/>
        <v>0</v>
      </c>
      <c r="J619" t="str">
        <f t="shared" si="19"/>
        <v>VERIFICAR</v>
      </c>
    </row>
    <row r="620" spans="1:10" ht="15" customHeight="1" x14ac:dyDescent="0.2">
      <c r="A620" s="4" t="s">
        <v>3099</v>
      </c>
      <c r="B620" s="4" t="s">
        <v>3100</v>
      </c>
      <c r="C620" s="4" t="s">
        <v>3101</v>
      </c>
      <c r="D620" s="4" t="s">
        <v>3102</v>
      </c>
      <c r="E620" s="4" t="s">
        <v>3103</v>
      </c>
      <c r="F620" s="4" t="s">
        <v>2615</v>
      </c>
      <c r="G620" s="4" t="s">
        <v>47</v>
      </c>
      <c r="H620" s="4" t="s">
        <v>3104</v>
      </c>
      <c r="I620">
        <f t="shared" si="18"/>
        <v>1296.46</v>
      </c>
      <c r="J620" t="str">
        <f t="shared" si="19"/>
        <v>VERIFICAR</v>
      </c>
    </row>
    <row r="621" spans="1:10" ht="15" customHeight="1" x14ac:dyDescent="0.2">
      <c r="A621" s="3" t="s">
        <v>3105</v>
      </c>
      <c r="B621" s="3" t="s">
        <v>223</v>
      </c>
      <c r="C621" s="3" t="s">
        <v>3106</v>
      </c>
      <c r="D621" s="3" t="s">
        <v>3107</v>
      </c>
      <c r="E621" s="3" t="s">
        <v>47</v>
      </c>
      <c r="F621" s="3" t="s">
        <v>47</v>
      </c>
      <c r="G621" s="3" t="s">
        <v>47</v>
      </c>
      <c r="H621" s="3" t="s">
        <v>226</v>
      </c>
      <c r="I621">
        <f t="shared" si="18"/>
        <v>3471.97</v>
      </c>
      <c r="J621" t="str">
        <f t="shared" si="19"/>
        <v>VERIFICAR</v>
      </c>
    </row>
    <row r="622" spans="1:10" ht="15" customHeight="1" x14ac:dyDescent="0.2">
      <c r="A622" s="4" t="s">
        <v>3108</v>
      </c>
      <c r="B622" s="4" t="s">
        <v>3109</v>
      </c>
      <c r="C622" s="4" t="s">
        <v>3110</v>
      </c>
      <c r="D622" s="4" t="s">
        <v>3111</v>
      </c>
      <c r="E622" s="4" t="s">
        <v>47</v>
      </c>
      <c r="F622" s="4" t="s">
        <v>47</v>
      </c>
      <c r="G622" s="4" t="s">
        <v>47</v>
      </c>
      <c r="H622" s="4" t="s">
        <v>3112</v>
      </c>
      <c r="I622">
        <f t="shared" si="18"/>
        <v>2408.77</v>
      </c>
      <c r="J622" t="str">
        <f t="shared" si="19"/>
        <v>VERIFICAR</v>
      </c>
    </row>
    <row r="623" spans="1:10" ht="15" customHeight="1" x14ac:dyDescent="0.2">
      <c r="A623" s="3" t="s">
        <v>3113</v>
      </c>
      <c r="B623" s="3" t="s">
        <v>3114</v>
      </c>
      <c r="C623" s="3" t="s">
        <v>3115</v>
      </c>
      <c r="D623" s="3" t="s">
        <v>3116</v>
      </c>
      <c r="E623" s="3" t="s">
        <v>47</v>
      </c>
      <c r="F623" s="3" t="s">
        <v>47</v>
      </c>
      <c r="G623" s="3" t="s">
        <v>47</v>
      </c>
      <c r="H623" s="3" t="s">
        <v>3117</v>
      </c>
      <c r="I623">
        <f t="shared" si="18"/>
        <v>4251.2700000000004</v>
      </c>
      <c r="J623" t="str">
        <f t="shared" si="19"/>
        <v>VERIFICAR</v>
      </c>
    </row>
    <row r="624" spans="1:10" ht="15" customHeight="1" x14ac:dyDescent="0.2">
      <c r="A624" s="4" t="s">
        <v>3118</v>
      </c>
      <c r="B624" s="4" t="s">
        <v>3119</v>
      </c>
      <c r="C624" s="4" t="s">
        <v>3120</v>
      </c>
      <c r="D624" s="4" t="s">
        <v>3121</v>
      </c>
      <c r="E624" s="4" t="s">
        <v>47</v>
      </c>
      <c r="F624" s="4" t="s">
        <v>47</v>
      </c>
      <c r="G624" s="4" t="s">
        <v>3122</v>
      </c>
      <c r="H624" s="4" t="s">
        <v>47</v>
      </c>
      <c r="I624">
        <f t="shared" si="18"/>
        <v>-35035.599999999999</v>
      </c>
      <c r="J624" t="str">
        <f t="shared" si="19"/>
        <v>VERIFICAR</v>
      </c>
    </row>
    <row r="625" spans="1:10" ht="15" customHeight="1" x14ac:dyDescent="0.2">
      <c r="A625" s="3" t="s">
        <v>3123</v>
      </c>
      <c r="B625" s="3" t="s">
        <v>3124</v>
      </c>
      <c r="C625" s="3" t="s">
        <v>3125</v>
      </c>
      <c r="D625" s="3" t="s">
        <v>3126</v>
      </c>
      <c r="E625" s="3" t="s">
        <v>3127</v>
      </c>
      <c r="F625" s="3" t="s">
        <v>3128</v>
      </c>
      <c r="G625" s="3" t="s">
        <v>3129</v>
      </c>
      <c r="H625" s="3" t="s">
        <v>47</v>
      </c>
      <c r="I625">
        <f t="shared" si="18"/>
        <v>-1098.71</v>
      </c>
      <c r="J625" t="str">
        <f t="shared" si="19"/>
        <v>VERIFICAR</v>
      </c>
    </row>
    <row r="626" spans="1:10" ht="15" customHeight="1" x14ac:dyDescent="0.2">
      <c r="A626" s="4" t="s">
        <v>3130</v>
      </c>
      <c r="B626" s="4" t="s">
        <v>3131</v>
      </c>
      <c r="C626" s="4" t="s">
        <v>3132</v>
      </c>
      <c r="D626" s="4" t="s">
        <v>3133</v>
      </c>
      <c r="E626" s="4" t="s">
        <v>3134</v>
      </c>
      <c r="F626" s="4" t="s">
        <v>47</v>
      </c>
      <c r="G626" s="4" t="s">
        <v>47</v>
      </c>
      <c r="H626" s="4" t="s">
        <v>3135</v>
      </c>
      <c r="I626">
        <f t="shared" si="18"/>
        <v>4943.88</v>
      </c>
      <c r="J626" t="str">
        <f t="shared" si="19"/>
        <v>VERIFICAR</v>
      </c>
    </row>
    <row r="627" spans="1:10" ht="15" customHeight="1" x14ac:dyDescent="0.2">
      <c r="A627" s="3" t="s">
        <v>3136</v>
      </c>
      <c r="B627" s="3" t="s">
        <v>3137</v>
      </c>
      <c r="C627" s="3" t="s">
        <v>3138</v>
      </c>
      <c r="D627" s="3" t="s">
        <v>3139</v>
      </c>
      <c r="E627" s="3" t="s">
        <v>47</v>
      </c>
      <c r="F627" s="3" t="s">
        <v>47</v>
      </c>
      <c r="G627" s="3" t="s">
        <v>47</v>
      </c>
      <c r="H627" s="3" t="s">
        <v>3140</v>
      </c>
      <c r="I627">
        <f t="shared" si="18"/>
        <v>2735.13</v>
      </c>
      <c r="J627" t="str">
        <f t="shared" si="19"/>
        <v>VERIFICAR</v>
      </c>
    </row>
    <row r="628" spans="1:10" ht="15" customHeight="1" x14ac:dyDescent="0.2">
      <c r="A628" s="4" t="s">
        <v>3141</v>
      </c>
      <c r="B628" s="4" t="s">
        <v>3142</v>
      </c>
      <c r="C628" s="4" t="s">
        <v>3143</v>
      </c>
      <c r="D628" s="4" t="s">
        <v>3144</v>
      </c>
      <c r="E628" s="4" t="s">
        <v>3145</v>
      </c>
      <c r="F628" s="4" t="s">
        <v>47</v>
      </c>
      <c r="G628" s="4" t="s">
        <v>47</v>
      </c>
      <c r="H628" s="4" t="s">
        <v>3146</v>
      </c>
      <c r="I628">
        <f t="shared" si="18"/>
        <v>41592.699999999997</v>
      </c>
      <c r="J628" t="str">
        <f t="shared" si="19"/>
        <v>VERIFICAR</v>
      </c>
    </row>
    <row r="629" spans="1:10" ht="15" customHeight="1" x14ac:dyDescent="0.2">
      <c r="A629" s="3" t="s">
        <v>3147</v>
      </c>
      <c r="B629" s="3" t="s">
        <v>3148</v>
      </c>
      <c r="C629" s="3" t="s">
        <v>3149</v>
      </c>
      <c r="D629" s="3" t="s">
        <v>3150</v>
      </c>
      <c r="E629" s="3" t="s">
        <v>47</v>
      </c>
      <c r="F629" s="3" t="s">
        <v>47</v>
      </c>
      <c r="G629" s="3" t="s">
        <v>47</v>
      </c>
      <c r="H629" s="3" t="s">
        <v>3151</v>
      </c>
      <c r="I629">
        <f t="shared" si="18"/>
        <v>86.72</v>
      </c>
      <c r="J629" t="str">
        <f t="shared" si="19"/>
        <v>VERIFICAR</v>
      </c>
    </row>
    <row r="630" spans="1:10" ht="15" customHeight="1" x14ac:dyDescent="0.2">
      <c r="A630" s="4" t="s">
        <v>3152</v>
      </c>
      <c r="B630" s="4" t="s">
        <v>3153</v>
      </c>
      <c r="C630" s="4" t="s">
        <v>3154</v>
      </c>
      <c r="D630" s="4" t="s">
        <v>3155</v>
      </c>
      <c r="E630" s="4" t="s">
        <v>3156</v>
      </c>
      <c r="F630" s="4" t="s">
        <v>3157</v>
      </c>
      <c r="G630" s="4" t="s">
        <v>47</v>
      </c>
      <c r="H630" s="4" t="s">
        <v>47</v>
      </c>
      <c r="I630">
        <f t="shared" si="18"/>
        <v>0</v>
      </c>
      <c r="J630" t="str">
        <f t="shared" si="19"/>
        <v>VERIFICAR</v>
      </c>
    </row>
    <row r="631" spans="1:10" ht="15" customHeight="1" x14ac:dyDescent="0.2">
      <c r="A631" s="3" t="s">
        <v>3158</v>
      </c>
      <c r="B631" s="3" t="s">
        <v>3159</v>
      </c>
      <c r="C631" s="3" t="s">
        <v>3160</v>
      </c>
      <c r="D631" s="3" t="s">
        <v>3160</v>
      </c>
      <c r="E631" s="3" t="s">
        <v>3161</v>
      </c>
      <c r="F631" s="3" t="s">
        <v>3161</v>
      </c>
      <c r="G631" s="3" t="s">
        <v>47</v>
      </c>
      <c r="H631" s="3" t="s">
        <v>47</v>
      </c>
      <c r="I631">
        <f t="shared" si="18"/>
        <v>0</v>
      </c>
      <c r="J631" t="str">
        <f t="shared" si="19"/>
        <v>VERIFICAR</v>
      </c>
    </row>
    <row r="632" spans="1:10" ht="15" customHeight="1" x14ac:dyDescent="0.2">
      <c r="A632" s="4" t="s">
        <v>3162</v>
      </c>
      <c r="B632" s="4" t="s">
        <v>3163</v>
      </c>
      <c r="C632" s="4" t="s">
        <v>3164</v>
      </c>
      <c r="D632" s="4" t="s">
        <v>3165</v>
      </c>
      <c r="E632" s="4" t="s">
        <v>47</v>
      </c>
      <c r="F632" s="4" t="s">
        <v>47</v>
      </c>
      <c r="G632" s="4" t="s">
        <v>47</v>
      </c>
      <c r="H632" s="4" t="s">
        <v>394</v>
      </c>
      <c r="I632">
        <f t="shared" si="18"/>
        <v>0.01</v>
      </c>
      <c r="J632" t="str">
        <f t="shared" si="19"/>
        <v>VERIFICAR</v>
      </c>
    </row>
    <row r="633" spans="1:10" ht="15" customHeight="1" x14ac:dyDescent="0.2">
      <c r="A633" s="3" t="s">
        <v>3166</v>
      </c>
      <c r="B633" s="3" t="s">
        <v>3167</v>
      </c>
      <c r="C633" s="3" t="s">
        <v>3168</v>
      </c>
      <c r="D633" s="3" t="s">
        <v>3169</v>
      </c>
      <c r="E633" s="3" t="s">
        <v>3170</v>
      </c>
      <c r="F633" s="3" t="s">
        <v>47</v>
      </c>
      <c r="G633" s="3" t="s">
        <v>47</v>
      </c>
      <c r="H633" s="3" t="s">
        <v>47</v>
      </c>
      <c r="I633">
        <f t="shared" si="18"/>
        <v>0</v>
      </c>
      <c r="J633" t="str">
        <f t="shared" si="19"/>
        <v>VERIFICAR</v>
      </c>
    </row>
    <row r="634" spans="1:10" ht="15" customHeight="1" x14ac:dyDescent="0.2">
      <c r="A634" s="4" t="s">
        <v>3171</v>
      </c>
      <c r="B634" s="4" t="s">
        <v>3172</v>
      </c>
      <c r="C634" s="4" t="s">
        <v>3173</v>
      </c>
      <c r="D634" s="4" t="s">
        <v>3174</v>
      </c>
      <c r="E634" s="4" t="s">
        <v>47</v>
      </c>
      <c r="F634" s="4" t="s">
        <v>47</v>
      </c>
      <c r="G634" s="4" t="s">
        <v>47</v>
      </c>
      <c r="H634" s="4" t="s">
        <v>3175</v>
      </c>
      <c r="I634">
        <f t="shared" si="18"/>
        <v>368.55</v>
      </c>
      <c r="J634" t="str">
        <f t="shared" si="19"/>
        <v>VERIFICAR</v>
      </c>
    </row>
    <row r="635" spans="1:10" ht="15" customHeight="1" x14ac:dyDescent="0.2">
      <c r="A635" s="3" t="s">
        <v>3176</v>
      </c>
      <c r="B635" s="3" t="s">
        <v>3177</v>
      </c>
      <c r="C635" s="3" t="s">
        <v>3178</v>
      </c>
      <c r="D635" s="3" t="s">
        <v>3179</v>
      </c>
      <c r="E635" s="3" t="s">
        <v>47</v>
      </c>
      <c r="F635" s="3" t="s">
        <v>47</v>
      </c>
      <c r="G635" s="3" t="s">
        <v>47</v>
      </c>
      <c r="H635" s="3" t="s">
        <v>3180</v>
      </c>
      <c r="I635">
        <f t="shared" si="18"/>
        <v>1481.62</v>
      </c>
      <c r="J635" t="str">
        <f t="shared" si="19"/>
        <v>VERIFICAR</v>
      </c>
    </row>
    <row r="636" spans="1:10" ht="15" customHeight="1" x14ac:dyDescent="0.2">
      <c r="A636" s="4" t="s">
        <v>3181</v>
      </c>
      <c r="B636" s="4" t="s">
        <v>3182</v>
      </c>
      <c r="C636" s="4" t="s">
        <v>3183</v>
      </c>
      <c r="D636" s="4" t="s">
        <v>3184</v>
      </c>
      <c r="E636" s="4" t="s">
        <v>3185</v>
      </c>
      <c r="F636" s="4" t="s">
        <v>3186</v>
      </c>
      <c r="G636" s="4" t="s">
        <v>47</v>
      </c>
      <c r="H636" s="4" t="s">
        <v>3187</v>
      </c>
      <c r="I636">
        <f t="shared" si="18"/>
        <v>1054.8900000000001</v>
      </c>
      <c r="J636" t="str">
        <f t="shared" si="19"/>
        <v>VERIFICAR</v>
      </c>
    </row>
    <row r="637" spans="1:10" ht="15" customHeight="1" x14ac:dyDescent="0.2">
      <c r="A637" s="3" t="s">
        <v>3188</v>
      </c>
      <c r="B637" s="3" t="s">
        <v>3189</v>
      </c>
      <c r="C637" s="3" t="s">
        <v>3190</v>
      </c>
      <c r="D637" s="3" t="s">
        <v>3191</v>
      </c>
      <c r="E637" s="3" t="s">
        <v>47</v>
      </c>
      <c r="F637" s="3" t="s">
        <v>47</v>
      </c>
      <c r="G637" s="3" t="s">
        <v>47</v>
      </c>
      <c r="H637" s="3" t="s">
        <v>3192</v>
      </c>
      <c r="I637">
        <f t="shared" si="18"/>
        <v>435.52</v>
      </c>
      <c r="J637" t="str">
        <f t="shared" si="19"/>
        <v>VERIFICAR</v>
      </c>
    </row>
    <row r="638" spans="1:10" ht="15" customHeight="1" x14ac:dyDescent="0.2">
      <c r="A638" s="4" t="s">
        <v>3193</v>
      </c>
      <c r="B638" s="4" t="s">
        <v>3194</v>
      </c>
      <c r="C638" s="4" t="s">
        <v>3195</v>
      </c>
      <c r="D638" s="4" t="s">
        <v>3196</v>
      </c>
      <c r="E638" s="4" t="s">
        <v>47</v>
      </c>
      <c r="F638" s="4" t="s">
        <v>47</v>
      </c>
      <c r="G638" s="4" t="s">
        <v>47</v>
      </c>
      <c r="H638" s="4" t="s">
        <v>3197</v>
      </c>
      <c r="I638">
        <f t="shared" si="18"/>
        <v>56</v>
      </c>
      <c r="J638" t="str">
        <f t="shared" si="19"/>
        <v>VERIFICAR</v>
      </c>
    </row>
    <row r="639" spans="1:10" ht="15" customHeight="1" x14ac:dyDescent="0.2">
      <c r="A639" s="3" t="s">
        <v>3198</v>
      </c>
      <c r="B639" s="3" t="s">
        <v>3199</v>
      </c>
      <c r="C639" s="3" t="s">
        <v>3200</v>
      </c>
      <c r="D639" s="3" t="s">
        <v>3200</v>
      </c>
      <c r="E639" s="3" t="s">
        <v>47</v>
      </c>
      <c r="F639" s="3" t="s">
        <v>3201</v>
      </c>
      <c r="G639" s="3" t="s">
        <v>47</v>
      </c>
      <c r="H639" s="3" t="s">
        <v>3201</v>
      </c>
      <c r="I639">
        <f t="shared" si="18"/>
        <v>1241.99</v>
      </c>
      <c r="J639" t="str">
        <f t="shared" si="19"/>
        <v>VERIFICAR</v>
      </c>
    </row>
    <row r="640" spans="1:10" ht="15" customHeight="1" x14ac:dyDescent="0.2">
      <c r="A640" s="4" t="s">
        <v>3202</v>
      </c>
      <c r="B640" s="4" t="s">
        <v>3203</v>
      </c>
      <c r="C640" s="4" t="s">
        <v>3204</v>
      </c>
      <c r="D640" s="4" t="s">
        <v>3204</v>
      </c>
      <c r="E640" s="4" t="s">
        <v>3205</v>
      </c>
      <c r="F640" s="4" t="s">
        <v>3205</v>
      </c>
      <c r="G640" s="4" t="s">
        <v>47</v>
      </c>
      <c r="H640" s="4" t="s">
        <v>47</v>
      </c>
      <c r="I640">
        <f t="shared" si="18"/>
        <v>0</v>
      </c>
      <c r="J640" t="str">
        <f t="shared" si="19"/>
        <v>VERIFICAR</v>
      </c>
    </row>
    <row r="641" spans="1:10" ht="15" customHeight="1" x14ac:dyDescent="0.2">
      <c r="A641" s="3" t="s">
        <v>3206</v>
      </c>
      <c r="B641" s="3" t="s">
        <v>3049</v>
      </c>
      <c r="C641" s="3" t="s">
        <v>3207</v>
      </c>
      <c r="D641" s="3" t="s">
        <v>3208</v>
      </c>
      <c r="E641" s="3" t="s">
        <v>47</v>
      </c>
      <c r="F641" s="3" t="s">
        <v>47</v>
      </c>
      <c r="G641" s="3" t="s">
        <v>47</v>
      </c>
      <c r="H641" s="3" t="s">
        <v>3209</v>
      </c>
      <c r="I641">
        <f t="shared" si="18"/>
        <v>502.86</v>
      </c>
      <c r="J641" t="str">
        <f t="shared" si="19"/>
        <v>VERIFICAR</v>
      </c>
    </row>
    <row r="642" spans="1:10" ht="15" customHeight="1" x14ac:dyDescent="0.2">
      <c r="A642" s="4" t="s">
        <v>3210</v>
      </c>
      <c r="B642" s="4" t="s">
        <v>3211</v>
      </c>
      <c r="C642" s="4" t="s">
        <v>3212</v>
      </c>
      <c r="D642" s="4" t="s">
        <v>3213</v>
      </c>
      <c r="E642" s="4" t="s">
        <v>47</v>
      </c>
      <c r="F642" s="4" t="s">
        <v>47</v>
      </c>
      <c r="G642" s="4" t="s">
        <v>47</v>
      </c>
      <c r="H642" s="4" t="s">
        <v>3214</v>
      </c>
      <c r="I642">
        <f t="shared" si="18"/>
        <v>22.5</v>
      </c>
      <c r="J642" t="str">
        <f t="shared" si="19"/>
        <v>VERIFICAR</v>
      </c>
    </row>
    <row r="643" spans="1:10" ht="15" customHeight="1" x14ac:dyDescent="0.2">
      <c r="A643" s="3" t="s">
        <v>3215</v>
      </c>
      <c r="B643" s="3" t="s">
        <v>3216</v>
      </c>
      <c r="C643" s="3" t="s">
        <v>3217</v>
      </c>
      <c r="D643" s="3" t="s">
        <v>3217</v>
      </c>
      <c r="E643" s="3" t="s">
        <v>3218</v>
      </c>
      <c r="F643" s="3" t="s">
        <v>3218</v>
      </c>
      <c r="G643" s="3" t="s">
        <v>47</v>
      </c>
      <c r="H643" s="3" t="s">
        <v>47</v>
      </c>
      <c r="I643">
        <f t="shared" si="18"/>
        <v>0</v>
      </c>
      <c r="J643" t="str">
        <f t="shared" si="19"/>
        <v>VERIFICAR</v>
      </c>
    </row>
    <row r="644" spans="1:10" ht="15" customHeight="1" x14ac:dyDescent="0.2">
      <c r="A644" s="4" t="s">
        <v>3219</v>
      </c>
      <c r="B644" s="4" t="s">
        <v>3220</v>
      </c>
      <c r="C644" s="4" t="s">
        <v>3221</v>
      </c>
      <c r="D644" s="4" t="s">
        <v>3221</v>
      </c>
      <c r="E644" s="4" t="s">
        <v>3222</v>
      </c>
      <c r="F644" s="4" t="s">
        <v>3222</v>
      </c>
      <c r="G644" s="4" t="s">
        <v>47</v>
      </c>
      <c r="H644" s="4" t="s">
        <v>47</v>
      </c>
      <c r="I644">
        <f t="shared" ref="I644:I707" si="20">IF(MID(A644,1,1)="1",G644-H644,IF(MID(A644,1,1)="2",H644-G644,"VERIFICAR"))</f>
        <v>0</v>
      </c>
      <c r="J644" t="str">
        <f t="shared" ref="J644:J707" si="21">IF(MID(A644,1,1)="1",H644-I644,IF(MID(B644,1,1)="2",I644-H644,IF(MID(A644,1,1)="3",F644-E644,IF(MID(A644,1,1)="4",E644-F644,"VERIFICAR"))))</f>
        <v>VERIFICAR</v>
      </c>
    </row>
    <row r="645" spans="1:10" ht="15" customHeight="1" x14ac:dyDescent="0.2">
      <c r="A645" s="3" t="s">
        <v>3223</v>
      </c>
      <c r="B645" s="3" t="s">
        <v>3224</v>
      </c>
      <c r="C645" s="3" t="s">
        <v>3225</v>
      </c>
      <c r="D645" s="3" t="s">
        <v>3226</v>
      </c>
      <c r="E645" s="3" t="s">
        <v>3227</v>
      </c>
      <c r="F645" s="3" t="s">
        <v>47</v>
      </c>
      <c r="G645" s="3" t="s">
        <v>47</v>
      </c>
      <c r="H645" s="3" t="s">
        <v>47</v>
      </c>
      <c r="I645">
        <f t="shared" si="20"/>
        <v>0</v>
      </c>
      <c r="J645" t="str">
        <f t="shared" si="21"/>
        <v>VERIFICAR</v>
      </c>
    </row>
    <row r="646" spans="1:10" ht="15" customHeight="1" x14ac:dyDescent="0.2">
      <c r="A646" s="4" t="s">
        <v>3228</v>
      </c>
      <c r="B646" s="4" t="s">
        <v>3229</v>
      </c>
      <c r="C646" s="4" t="s">
        <v>3230</v>
      </c>
      <c r="D646" s="4" t="s">
        <v>3231</v>
      </c>
      <c r="E646" s="4" t="s">
        <v>3232</v>
      </c>
      <c r="F646" s="4" t="s">
        <v>47</v>
      </c>
      <c r="G646" s="4" t="s">
        <v>47</v>
      </c>
      <c r="H646" s="4" t="s">
        <v>47</v>
      </c>
      <c r="I646">
        <f t="shared" si="20"/>
        <v>0</v>
      </c>
      <c r="J646" t="str">
        <f t="shared" si="21"/>
        <v>VERIFICAR</v>
      </c>
    </row>
    <row r="647" spans="1:10" ht="15" customHeight="1" x14ac:dyDescent="0.2">
      <c r="A647" s="3" t="s">
        <v>3233</v>
      </c>
      <c r="B647" s="3" t="s">
        <v>3234</v>
      </c>
      <c r="C647" s="3" t="s">
        <v>3235</v>
      </c>
      <c r="D647" s="3" t="s">
        <v>3236</v>
      </c>
      <c r="E647" s="3" t="s">
        <v>47</v>
      </c>
      <c r="F647" s="3" t="s">
        <v>47</v>
      </c>
      <c r="G647" s="3" t="s">
        <v>47</v>
      </c>
      <c r="H647" s="3" t="s">
        <v>3237</v>
      </c>
      <c r="I647">
        <f t="shared" si="20"/>
        <v>916.09</v>
      </c>
      <c r="J647" t="str">
        <f t="shared" si="21"/>
        <v>VERIFICAR</v>
      </c>
    </row>
    <row r="648" spans="1:10" ht="15" customHeight="1" x14ac:dyDescent="0.2">
      <c r="A648" s="4" t="s">
        <v>3238</v>
      </c>
      <c r="B648" s="4" t="s">
        <v>3239</v>
      </c>
      <c r="C648" s="4" t="s">
        <v>3240</v>
      </c>
      <c r="D648" s="4" t="s">
        <v>3240</v>
      </c>
      <c r="E648" s="4" t="s">
        <v>47</v>
      </c>
      <c r="F648" s="4" t="s">
        <v>3241</v>
      </c>
      <c r="G648" s="4" t="s">
        <v>47</v>
      </c>
      <c r="H648" s="4" t="s">
        <v>3241</v>
      </c>
      <c r="I648">
        <f t="shared" si="20"/>
        <v>12908.85</v>
      </c>
      <c r="J648" t="str">
        <f t="shared" si="21"/>
        <v>VERIFICAR</v>
      </c>
    </row>
    <row r="649" spans="1:10" ht="15" customHeight="1" x14ac:dyDescent="0.2">
      <c r="A649" s="3" t="s">
        <v>3242</v>
      </c>
      <c r="B649" s="3" t="s">
        <v>3243</v>
      </c>
      <c r="C649" s="3" t="s">
        <v>3244</v>
      </c>
      <c r="D649" s="3" t="s">
        <v>3245</v>
      </c>
      <c r="E649" s="3" t="s">
        <v>3246</v>
      </c>
      <c r="F649" s="3" t="s">
        <v>47</v>
      </c>
      <c r="G649" s="3" t="s">
        <v>47</v>
      </c>
      <c r="H649" s="3" t="s">
        <v>3247</v>
      </c>
      <c r="I649">
        <f t="shared" si="20"/>
        <v>325.61</v>
      </c>
      <c r="J649" t="str">
        <f t="shared" si="21"/>
        <v>VERIFICAR</v>
      </c>
    </row>
    <row r="650" spans="1:10" ht="15" customHeight="1" x14ac:dyDescent="0.2">
      <c r="A650" s="4" t="s">
        <v>3248</v>
      </c>
      <c r="B650" s="4" t="s">
        <v>3249</v>
      </c>
      <c r="C650" s="4" t="s">
        <v>3250</v>
      </c>
      <c r="D650" s="4" t="s">
        <v>3251</v>
      </c>
      <c r="E650" s="4" t="s">
        <v>3252</v>
      </c>
      <c r="F650" s="4" t="s">
        <v>3253</v>
      </c>
      <c r="G650" s="4" t="s">
        <v>47</v>
      </c>
      <c r="H650" s="4" t="s">
        <v>3254</v>
      </c>
      <c r="I650">
        <f t="shared" si="20"/>
        <v>8185.64</v>
      </c>
      <c r="J650" t="str">
        <f t="shared" si="21"/>
        <v>VERIFICAR</v>
      </c>
    </row>
    <row r="651" spans="1:10" ht="15" customHeight="1" x14ac:dyDescent="0.2">
      <c r="A651" s="3" t="s">
        <v>3255</v>
      </c>
      <c r="B651" s="3" t="s">
        <v>3256</v>
      </c>
      <c r="C651" s="3" t="s">
        <v>3257</v>
      </c>
      <c r="D651" s="3" t="s">
        <v>3258</v>
      </c>
      <c r="E651" s="3" t="s">
        <v>47</v>
      </c>
      <c r="F651" s="3" t="s">
        <v>47</v>
      </c>
      <c r="G651" s="3" t="s">
        <v>47</v>
      </c>
      <c r="H651" s="3" t="s">
        <v>337</v>
      </c>
      <c r="I651">
        <f t="shared" si="20"/>
        <v>300</v>
      </c>
      <c r="J651" t="str">
        <f t="shared" si="21"/>
        <v>VERIFICAR</v>
      </c>
    </row>
    <row r="652" spans="1:10" ht="15" customHeight="1" x14ac:dyDescent="0.2">
      <c r="A652" s="4" t="s">
        <v>3259</v>
      </c>
      <c r="B652" s="4" t="s">
        <v>3260</v>
      </c>
      <c r="C652" s="4" t="s">
        <v>3261</v>
      </c>
      <c r="D652" s="4" t="s">
        <v>3262</v>
      </c>
      <c r="E652" s="4" t="s">
        <v>3263</v>
      </c>
      <c r="F652" s="4" t="s">
        <v>3263</v>
      </c>
      <c r="G652" s="4" t="s">
        <v>47</v>
      </c>
      <c r="H652" s="4" t="s">
        <v>3263</v>
      </c>
      <c r="I652">
        <f t="shared" si="20"/>
        <v>171.28</v>
      </c>
      <c r="J652" t="str">
        <f t="shared" si="21"/>
        <v>VERIFICAR</v>
      </c>
    </row>
    <row r="653" spans="1:10" ht="15" customHeight="1" x14ac:dyDescent="0.2">
      <c r="A653" s="3" t="s">
        <v>3264</v>
      </c>
      <c r="B653" s="3" t="s">
        <v>3265</v>
      </c>
      <c r="C653" s="3" t="s">
        <v>3266</v>
      </c>
      <c r="D653" s="3" t="s">
        <v>3267</v>
      </c>
      <c r="E653" s="3" t="s">
        <v>3268</v>
      </c>
      <c r="F653" s="3" t="s">
        <v>3269</v>
      </c>
      <c r="G653" s="3" t="s">
        <v>47</v>
      </c>
      <c r="H653" s="3" t="s">
        <v>3270</v>
      </c>
      <c r="I653">
        <f t="shared" si="20"/>
        <v>9503.0400000000009</v>
      </c>
      <c r="J653" t="str">
        <f t="shared" si="21"/>
        <v>VERIFICAR</v>
      </c>
    </row>
    <row r="654" spans="1:10" ht="15" customHeight="1" x14ac:dyDescent="0.2">
      <c r="A654" s="4" t="s">
        <v>3271</v>
      </c>
      <c r="B654" s="4" t="s">
        <v>3272</v>
      </c>
      <c r="C654" s="4" t="s">
        <v>3273</v>
      </c>
      <c r="D654" s="4" t="s">
        <v>3274</v>
      </c>
      <c r="E654" s="4" t="s">
        <v>3275</v>
      </c>
      <c r="F654" s="4" t="s">
        <v>3276</v>
      </c>
      <c r="G654" s="4" t="s">
        <v>3277</v>
      </c>
      <c r="H654" s="4" t="s">
        <v>47</v>
      </c>
      <c r="I654">
        <f t="shared" si="20"/>
        <v>-8850.44</v>
      </c>
      <c r="J654" t="str">
        <f t="shared" si="21"/>
        <v>VERIFICAR</v>
      </c>
    </row>
    <row r="655" spans="1:10" ht="15" customHeight="1" x14ac:dyDescent="0.2">
      <c r="A655" s="3" t="s">
        <v>3278</v>
      </c>
      <c r="B655" s="3" t="s">
        <v>3279</v>
      </c>
      <c r="C655" s="3" t="s">
        <v>3280</v>
      </c>
      <c r="D655" s="3" t="s">
        <v>3281</v>
      </c>
      <c r="E655" s="3" t="s">
        <v>3282</v>
      </c>
      <c r="F655" s="3" t="s">
        <v>3283</v>
      </c>
      <c r="G655" s="3" t="s">
        <v>47</v>
      </c>
      <c r="H655" s="3" t="s">
        <v>3284</v>
      </c>
      <c r="I655">
        <f t="shared" si="20"/>
        <v>920.2</v>
      </c>
      <c r="J655" t="str">
        <f t="shared" si="21"/>
        <v>VERIFICAR</v>
      </c>
    </row>
    <row r="656" spans="1:10" ht="15" customHeight="1" x14ac:dyDescent="0.2">
      <c r="A656" s="4" t="s">
        <v>3285</v>
      </c>
      <c r="B656" s="4" t="s">
        <v>3286</v>
      </c>
      <c r="C656" s="4" t="s">
        <v>3287</v>
      </c>
      <c r="D656" s="4" t="s">
        <v>3288</v>
      </c>
      <c r="E656" s="4" t="s">
        <v>47</v>
      </c>
      <c r="F656" s="4" t="s">
        <v>3289</v>
      </c>
      <c r="G656" s="4" t="s">
        <v>47</v>
      </c>
      <c r="H656" s="4" t="s">
        <v>3290</v>
      </c>
      <c r="I656">
        <f t="shared" si="20"/>
        <v>64832.55</v>
      </c>
      <c r="J656" t="str">
        <f t="shared" si="21"/>
        <v>VERIFICAR</v>
      </c>
    </row>
    <row r="657" spans="1:10" ht="15" customHeight="1" x14ac:dyDescent="0.2">
      <c r="A657" s="3" t="s">
        <v>3291</v>
      </c>
      <c r="B657" s="3" t="s">
        <v>3292</v>
      </c>
      <c r="C657" s="3" t="s">
        <v>3293</v>
      </c>
      <c r="D657" s="3" t="s">
        <v>3294</v>
      </c>
      <c r="E657" s="3" t="s">
        <v>47</v>
      </c>
      <c r="F657" s="3" t="s">
        <v>47</v>
      </c>
      <c r="G657" s="3" t="s">
        <v>332</v>
      </c>
      <c r="H657" s="3" t="s">
        <v>47</v>
      </c>
      <c r="I657">
        <f t="shared" si="20"/>
        <v>-0.02</v>
      </c>
      <c r="J657" t="str">
        <f t="shared" si="21"/>
        <v>VERIFICAR</v>
      </c>
    </row>
    <row r="658" spans="1:10" ht="15" customHeight="1" x14ac:dyDescent="0.2">
      <c r="A658" s="4" t="s">
        <v>3295</v>
      </c>
      <c r="B658" s="4" t="s">
        <v>3074</v>
      </c>
      <c r="C658" s="4" t="s">
        <v>3296</v>
      </c>
      <c r="D658" s="4" t="s">
        <v>3297</v>
      </c>
      <c r="E658" s="4" t="s">
        <v>47</v>
      </c>
      <c r="F658" s="4" t="s">
        <v>47</v>
      </c>
      <c r="G658" s="4" t="s">
        <v>47</v>
      </c>
      <c r="H658" s="4" t="s">
        <v>3298</v>
      </c>
      <c r="I658">
        <f t="shared" si="20"/>
        <v>80.36</v>
      </c>
      <c r="J658" t="str">
        <f t="shared" si="21"/>
        <v>VERIFICAR</v>
      </c>
    </row>
    <row r="659" spans="1:10" ht="15" customHeight="1" x14ac:dyDescent="0.2">
      <c r="A659" s="3" t="s">
        <v>3299</v>
      </c>
      <c r="B659" s="3" t="s">
        <v>3300</v>
      </c>
      <c r="C659" s="3" t="s">
        <v>3301</v>
      </c>
      <c r="D659" s="3" t="s">
        <v>3302</v>
      </c>
      <c r="E659" s="3" t="s">
        <v>47</v>
      </c>
      <c r="F659" s="3" t="s">
        <v>47</v>
      </c>
      <c r="G659" s="3" t="s">
        <v>47</v>
      </c>
      <c r="H659" s="3" t="s">
        <v>3303</v>
      </c>
      <c r="I659">
        <f t="shared" si="20"/>
        <v>920</v>
      </c>
      <c r="J659" t="str">
        <f t="shared" si="21"/>
        <v>VERIFICAR</v>
      </c>
    </row>
    <row r="660" spans="1:10" ht="15" customHeight="1" x14ac:dyDescent="0.2">
      <c r="A660" s="4" t="s">
        <v>3304</v>
      </c>
      <c r="B660" s="4" t="s">
        <v>3305</v>
      </c>
      <c r="C660" s="4" t="s">
        <v>639</v>
      </c>
      <c r="D660" s="4" t="s">
        <v>1214</v>
      </c>
      <c r="E660" s="4" t="s">
        <v>47</v>
      </c>
      <c r="F660" s="4" t="s">
        <v>47</v>
      </c>
      <c r="G660" s="4" t="s">
        <v>47</v>
      </c>
      <c r="H660" s="4" t="s">
        <v>639</v>
      </c>
      <c r="I660">
        <f t="shared" si="20"/>
        <v>500</v>
      </c>
      <c r="J660" t="str">
        <f t="shared" si="21"/>
        <v>VERIFICAR</v>
      </c>
    </row>
    <row r="661" spans="1:10" ht="15" customHeight="1" x14ac:dyDescent="0.2">
      <c r="A661" s="3" t="s">
        <v>3306</v>
      </c>
      <c r="B661" s="3" t="s">
        <v>3307</v>
      </c>
      <c r="C661" s="3" t="s">
        <v>3308</v>
      </c>
      <c r="D661" s="3" t="s">
        <v>3308</v>
      </c>
      <c r="E661" s="3" t="s">
        <v>3309</v>
      </c>
      <c r="F661" s="3" t="s">
        <v>3309</v>
      </c>
      <c r="G661" s="3" t="s">
        <v>47</v>
      </c>
      <c r="H661" s="3" t="s">
        <v>47</v>
      </c>
      <c r="I661">
        <f t="shared" si="20"/>
        <v>0</v>
      </c>
      <c r="J661" t="str">
        <f t="shared" si="21"/>
        <v>VERIFICAR</v>
      </c>
    </row>
    <row r="662" spans="1:10" ht="15" customHeight="1" x14ac:dyDescent="0.2">
      <c r="A662" s="4" t="s">
        <v>3310</v>
      </c>
      <c r="B662" s="4" t="s">
        <v>3311</v>
      </c>
      <c r="C662" s="4" t="s">
        <v>3312</v>
      </c>
      <c r="D662" s="4" t="s">
        <v>3313</v>
      </c>
      <c r="E662" s="4" t="s">
        <v>47</v>
      </c>
      <c r="F662" s="4" t="s">
        <v>47</v>
      </c>
      <c r="G662" s="4" t="s">
        <v>47</v>
      </c>
      <c r="H662" s="4" t="s">
        <v>3314</v>
      </c>
      <c r="I662">
        <f t="shared" si="20"/>
        <v>475.7</v>
      </c>
      <c r="J662" t="str">
        <f t="shared" si="21"/>
        <v>VERIFICAR</v>
      </c>
    </row>
    <row r="663" spans="1:10" ht="15" customHeight="1" x14ac:dyDescent="0.2">
      <c r="A663" s="3" t="s">
        <v>3315</v>
      </c>
      <c r="B663" s="3" t="s">
        <v>3316</v>
      </c>
      <c r="C663" s="3" t="s">
        <v>3317</v>
      </c>
      <c r="D663" s="3" t="s">
        <v>3317</v>
      </c>
      <c r="E663" s="3" t="s">
        <v>3318</v>
      </c>
      <c r="F663" s="3" t="s">
        <v>3318</v>
      </c>
      <c r="G663" s="3" t="s">
        <v>47</v>
      </c>
      <c r="H663" s="3" t="s">
        <v>47</v>
      </c>
      <c r="I663">
        <f t="shared" si="20"/>
        <v>0</v>
      </c>
      <c r="J663" t="str">
        <f t="shared" si="21"/>
        <v>VERIFICAR</v>
      </c>
    </row>
    <row r="664" spans="1:10" ht="15" customHeight="1" x14ac:dyDescent="0.2">
      <c r="A664" s="4" t="s">
        <v>3319</v>
      </c>
      <c r="B664" s="4" t="s">
        <v>3320</v>
      </c>
      <c r="C664" s="4" t="s">
        <v>3321</v>
      </c>
      <c r="D664" s="4" t="s">
        <v>3322</v>
      </c>
      <c r="E664" s="4" t="s">
        <v>47</v>
      </c>
      <c r="F664" s="4" t="s">
        <v>47</v>
      </c>
      <c r="G664" s="4" t="s">
        <v>47</v>
      </c>
      <c r="H664" s="4" t="s">
        <v>3323</v>
      </c>
      <c r="I664">
        <f t="shared" si="20"/>
        <v>1044</v>
      </c>
      <c r="J664" t="str">
        <f t="shared" si="21"/>
        <v>VERIFICAR</v>
      </c>
    </row>
    <row r="665" spans="1:10" ht="15" customHeight="1" x14ac:dyDescent="0.2">
      <c r="A665" s="3" t="s">
        <v>3324</v>
      </c>
      <c r="B665" s="3" t="s">
        <v>3325</v>
      </c>
      <c r="C665" s="3" t="s">
        <v>3326</v>
      </c>
      <c r="D665" s="3" t="s">
        <v>3327</v>
      </c>
      <c r="E665" s="3" t="s">
        <v>47</v>
      </c>
      <c r="F665" s="3" t="s">
        <v>47</v>
      </c>
      <c r="G665" s="3" t="s">
        <v>47</v>
      </c>
      <c r="H665" s="3" t="s">
        <v>3328</v>
      </c>
      <c r="I665">
        <f t="shared" si="20"/>
        <v>1.97</v>
      </c>
      <c r="J665" t="str">
        <f t="shared" si="21"/>
        <v>VERIFICAR</v>
      </c>
    </row>
    <row r="666" spans="1:10" ht="15" customHeight="1" x14ac:dyDescent="0.2">
      <c r="A666" s="4" t="s">
        <v>3329</v>
      </c>
      <c r="B666" s="4" t="s">
        <v>3330</v>
      </c>
      <c r="C666" s="4" t="s">
        <v>3331</v>
      </c>
      <c r="D666" s="4" t="s">
        <v>3332</v>
      </c>
      <c r="E666" s="4" t="s">
        <v>47</v>
      </c>
      <c r="F666" s="4" t="s">
        <v>47</v>
      </c>
      <c r="G666" s="4" t="s">
        <v>47</v>
      </c>
      <c r="H666" s="4" t="s">
        <v>3333</v>
      </c>
      <c r="I666">
        <f t="shared" si="20"/>
        <v>3603.72</v>
      </c>
      <c r="J666" t="str">
        <f t="shared" si="21"/>
        <v>VERIFICAR</v>
      </c>
    </row>
    <row r="667" spans="1:10" ht="15" customHeight="1" x14ac:dyDescent="0.2">
      <c r="A667" s="3" t="s">
        <v>3334</v>
      </c>
      <c r="B667" s="3" t="s">
        <v>3335</v>
      </c>
      <c r="C667" s="3" t="s">
        <v>3336</v>
      </c>
      <c r="D667" s="3" t="s">
        <v>3337</v>
      </c>
      <c r="E667" s="3" t="s">
        <v>47</v>
      </c>
      <c r="F667" s="3" t="s">
        <v>47</v>
      </c>
      <c r="G667" s="3" t="s">
        <v>47</v>
      </c>
      <c r="H667" s="3" t="s">
        <v>3338</v>
      </c>
      <c r="I667">
        <f t="shared" si="20"/>
        <v>132.30000000000001</v>
      </c>
      <c r="J667" t="str">
        <f t="shared" si="21"/>
        <v>VERIFICAR</v>
      </c>
    </row>
    <row r="668" spans="1:10" ht="15" customHeight="1" x14ac:dyDescent="0.2">
      <c r="A668" s="4" t="s">
        <v>3339</v>
      </c>
      <c r="B668" s="4" t="s">
        <v>3340</v>
      </c>
      <c r="C668" s="4" t="s">
        <v>3341</v>
      </c>
      <c r="D668" s="4" t="s">
        <v>3342</v>
      </c>
      <c r="E668" s="4" t="s">
        <v>47</v>
      </c>
      <c r="F668" s="4" t="s">
        <v>47</v>
      </c>
      <c r="G668" s="4" t="s">
        <v>47</v>
      </c>
      <c r="H668" s="4" t="s">
        <v>3343</v>
      </c>
      <c r="I668">
        <f t="shared" si="20"/>
        <v>2242.2199999999998</v>
      </c>
      <c r="J668" t="str">
        <f t="shared" si="21"/>
        <v>VERIFICAR</v>
      </c>
    </row>
    <row r="669" spans="1:10" ht="15" customHeight="1" x14ac:dyDescent="0.2">
      <c r="A669" s="3" t="s">
        <v>3344</v>
      </c>
      <c r="B669" s="3" t="s">
        <v>3345</v>
      </c>
      <c r="C669" s="3" t="s">
        <v>3346</v>
      </c>
      <c r="D669" s="3" t="s">
        <v>3347</v>
      </c>
      <c r="E669" s="3" t="s">
        <v>3348</v>
      </c>
      <c r="F669" s="3" t="s">
        <v>3349</v>
      </c>
      <c r="G669" s="3" t="s">
        <v>47</v>
      </c>
      <c r="H669" s="3" t="s">
        <v>3350</v>
      </c>
      <c r="I669">
        <f t="shared" si="20"/>
        <v>1103.82</v>
      </c>
      <c r="J669" t="str">
        <f t="shared" si="21"/>
        <v>VERIFICAR</v>
      </c>
    </row>
    <row r="670" spans="1:10" ht="15" customHeight="1" x14ac:dyDescent="0.2">
      <c r="A670" s="4" t="s">
        <v>3351</v>
      </c>
      <c r="B670" s="4" t="s">
        <v>3352</v>
      </c>
      <c r="C670" s="4" t="s">
        <v>3353</v>
      </c>
      <c r="D670" s="4" t="s">
        <v>3354</v>
      </c>
      <c r="E670" s="4" t="s">
        <v>47</v>
      </c>
      <c r="F670" s="4" t="s">
        <v>47</v>
      </c>
      <c r="G670" s="4" t="s">
        <v>47</v>
      </c>
      <c r="H670" s="4" t="s">
        <v>3355</v>
      </c>
      <c r="I670">
        <f t="shared" si="20"/>
        <v>30.15</v>
      </c>
      <c r="J670" t="str">
        <f t="shared" si="21"/>
        <v>VERIFICAR</v>
      </c>
    </row>
    <row r="671" spans="1:10" ht="15" customHeight="1" x14ac:dyDescent="0.2">
      <c r="A671" s="3" t="s">
        <v>3356</v>
      </c>
      <c r="B671" s="3" t="s">
        <v>3357</v>
      </c>
      <c r="C671" s="3" t="s">
        <v>3358</v>
      </c>
      <c r="D671" s="3" t="s">
        <v>3359</v>
      </c>
      <c r="E671" s="3" t="s">
        <v>47</v>
      </c>
      <c r="F671" s="3" t="s">
        <v>47</v>
      </c>
      <c r="G671" s="3" t="s">
        <v>47</v>
      </c>
      <c r="H671" s="3" t="s">
        <v>3360</v>
      </c>
      <c r="I671">
        <f t="shared" si="20"/>
        <v>2250</v>
      </c>
      <c r="J671" t="str">
        <f t="shared" si="21"/>
        <v>VERIFICAR</v>
      </c>
    </row>
    <row r="672" spans="1:10" ht="15" customHeight="1" x14ac:dyDescent="0.2">
      <c r="A672" s="4" t="s">
        <v>3361</v>
      </c>
      <c r="B672" s="4" t="s">
        <v>3362</v>
      </c>
      <c r="C672" s="4" t="s">
        <v>3363</v>
      </c>
      <c r="D672" s="4" t="s">
        <v>3364</v>
      </c>
      <c r="E672" s="4" t="s">
        <v>47</v>
      </c>
      <c r="F672" s="4" t="s">
        <v>47</v>
      </c>
      <c r="G672" s="4" t="s">
        <v>47</v>
      </c>
      <c r="H672" s="4" t="s">
        <v>3360</v>
      </c>
      <c r="I672">
        <f t="shared" si="20"/>
        <v>2250</v>
      </c>
      <c r="J672" t="str">
        <f t="shared" si="21"/>
        <v>VERIFICAR</v>
      </c>
    </row>
    <row r="673" spans="1:10" ht="15" customHeight="1" x14ac:dyDescent="0.2">
      <c r="A673" s="3" t="s">
        <v>3365</v>
      </c>
      <c r="B673" s="3" t="s">
        <v>3366</v>
      </c>
      <c r="C673" s="3" t="s">
        <v>3367</v>
      </c>
      <c r="D673" s="3" t="s">
        <v>3368</v>
      </c>
      <c r="E673" s="3" t="s">
        <v>47</v>
      </c>
      <c r="F673" s="3" t="s">
        <v>47</v>
      </c>
      <c r="G673" s="3" t="s">
        <v>47</v>
      </c>
      <c r="H673" s="3" t="s">
        <v>3369</v>
      </c>
      <c r="I673">
        <f t="shared" si="20"/>
        <v>130.68</v>
      </c>
      <c r="J673" t="str">
        <f t="shared" si="21"/>
        <v>VERIFICAR</v>
      </c>
    </row>
    <row r="674" spans="1:10" ht="15" customHeight="1" x14ac:dyDescent="0.2">
      <c r="A674" s="4" t="s">
        <v>3370</v>
      </c>
      <c r="B674" s="4" t="s">
        <v>3371</v>
      </c>
      <c r="C674" s="4" t="s">
        <v>3372</v>
      </c>
      <c r="D674" s="4" t="s">
        <v>3373</v>
      </c>
      <c r="E674" s="4" t="s">
        <v>47</v>
      </c>
      <c r="F674" s="4" t="s">
        <v>47</v>
      </c>
      <c r="G674" s="4" t="s">
        <v>47</v>
      </c>
      <c r="H674" s="4" t="s">
        <v>3374</v>
      </c>
      <c r="I674">
        <f t="shared" si="20"/>
        <v>242.24</v>
      </c>
      <c r="J674" t="str">
        <f t="shared" si="21"/>
        <v>VERIFICAR</v>
      </c>
    </row>
    <row r="675" spans="1:10" ht="15" customHeight="1" x14ac:dyDescent="0.2">
      <c r="A675" s="3" t="s">
        <v>3375</v>
      </c>
      <c r="B675" s="3" t="s">
        <v>3376</v>
      </c>
      <c r="C675" s="3" t="s">
        <v>3377</v>
      </c>
      <c r="D675" s="3" t="s">
        <v>3378</v>
      </c>
      <c r="E675" s="3" t="s">
        <v>47</v>
      </c>
      <c r="F675" s="3" t="s">
        <v>47</v>
      </c>
      <c r="G675" s="3" t="s">
        <v>47</v>
      </c>
      <c r="H675" s="3" t="s">
        <v>3379</v>
      </c>
      <c r="I675">
        <f t="shared" si="20"/>
        <v>291.47000000000003</v>
      </c>
      <c r="J675" t="str">
        <f t="shared" si="21"/>
        <v>VERIFICAR</v>
      </c>
    </row>
    <row r="676" spans="1:10" ht="15" customHeight="1" x14ac:dyDescent="0.2">
      <c r="A676" s="4" t="s">
        <v>3380</v>
      </c>
      <c r="B676" s="4" t="s">
        <v>3381</v>
      </c>
      <c r="C676" s="4" t="s">
        <v>3382</v>
      </c>
      <c r="D676" s="4" t="s">
        <v>3383</v>
      </c>
      <c r="E676" s="4" t="s">
        <v>3384</v>
      </c>
      <c r="F676" s="4" t="s">
        <v>3385</v>
      </c>
      <c r="G676" s="4" t="s">
        <v>47</v>
      </c>
      <c r="H676" s="4" t="s">
        <v>3386</v>
      </c>
      <c r="I676">
        <f t="shared" si="20"/>
        <v>3293.77</v>
      </c>
      <c r="J676" t="str">
        <f t="shared" si="21"/>
        <v>VERIFICAR</v>
      </c>
    </row>
    <row r="677" spans="1:10" ht="15" customHeight="1" x14ac:dyDescent="0.2">
      <c r="A677" s="3" t="s">
        <v>3387</v>
      </c>
      <c r="B677" s="3" t="s">
        <v>3388</v>
      </c>
      <c r="C677" s="3" t="s">
        <v>3389</v>
      </c>
      <c r="D677" s="3" t="s">
        <v>3390</v>
      </c>
      <c r="E677" s="3" t="s">
        <v>47</v>
      </c>
      <c r="F677" s="3" t="s">
        <v>47</v>
      </c>
      <c r="G677" s="3" t="s">
        <v>47</v>
      </c>
      <c r="H677" s="3" t="s">
        <v>3391</v>
      </c>
      <c r="I677">
        <f t="shared" si="20"/>
        <v>3693.86</v>
      </c>
      <c r="J677" t="str">
        <f t="shared" si="21"/>
        <v>VERIFICAR</v>
      </c>
    </row>
    <row r="678" spans="1:10" ht="15" customHeight="1" x14ac:dyDescent="0.2">
      <c r="A678" s="4" t="s">
        <v>3392</v>
      </c>
      <c r="B678" s="4" t="s">
        <v>3393</v>
      </c>
      <c r="C678" s="4" t="s">
        <v>3394</v>
      </c>
      <c r="D678" s="4" t="s">
        <v>3395</v>
      </c>
      <c r="E678" s="4" t="s">
        <v>47</v>
      </c>
      <c r="F678" s="4" t="s">
        <v>47</v>
      </c>
      <c r="G678" s="4" t="s">
        <v>47</v>
      </c>
      <c r="H678" s="4" t="s">
        <v>3396</v>
      </c>
      <c r="I678">
        <f t="shared" si="20"/>
        <v>45.8</v>
      </c>
      <c r="J678" t="str">
        <f t="shared" si="21"/>
        <v>VERIFICAR</v>
      </c>
    </row>
    <row r="679" spans="1:10" ht="15" customHeight="1" x14ac:dyDescent="0.2">
      <c r="A679" s="3" t="s">
        <v>3397</v>
      </c>
      <c r="B679" s="3" t="s">
        <v>3398</v>
      </c>
      <c r="C679" s="3" t="s">
        <v>3399</v>
      </c>
      <c r="D679" s="3" t="s">
        <v>3399</v>
      </c>
      <c r="E679" s="3" t="s">
        <v>47</v>
      </c>
      <c r="F679" s="3" t="s">
        <v>963</v>
      </c>
      <c r="G679" s="3" t="s">
        <v>47</v>
      </c>
      <c r="H679" s="3" t="s">
        <v>963</v>
      </c>
      <c r="I679">
        <f t="shared" si="20"/>
        <v>350</v>
      </c>
      <c r="J679" t="str">
        <f t="shared" si="21"/>
        <v>VERIFICAR</v>
      </c>
    </row>
    <row r="680" spans="1:10" ht="15" customHeight="1" x14ac:dyDescent="0.2">
      <c r="A680" s="4" t="s">
        <v>3400</v>
      </c>
      <c r="B680" s="4" t="s">
        <v>3401</v>
      </c>
      <c r="C680" s="4" t="s">
        <v>3402</v>
      </c>
      <c r="D680" s="4" t="s">
        <v>3403</v>
      </c>
      <c r="E680" s="4" t="s">
        <v>3404</v>
      </c>
      <c r="F680" s="4" t="s">
        <v>3405</v>
      </c>
      <c r="G680" s="4" t="s">
        <v>47</v>
      </c>
      <c r="H680" s="4" t="s">
        <v>3406</v>
      </c>
      <c r="I680">
        <f t="shared" si="20"/>
        <v>1672.65</v>
      </c>
      <c r="J680" t="str">
        <f t="shared" si="21"/>
        <v>VERIFICAR</v>
      </c>
    </row>
    <row r="681" spans="1:10" ht="15" customHeight="1" x14ac:dyDescent="0.2">
      <c r="A681" s="3" t="s">
        <v>3407</v>
      </c>
      <c r="B681" s="3" t="s">
        <v>3124</v>
      </c>
      <c r="C681" s="3" t="s">
        <v>3408</v>
      </c>
      <c r="D681" s="3" t="s">
        <v>3409</v>
      </c>
      <c r="E681" s="3" t="s">
        <v>1403</v>
      </c>
      <c r="F681" s="3" t="s">
        <v>47</v>
      </c>
      <c r="G681" s="3" t="s">
        <v>47</v>
      </c>
      <c r="H681" s="3" t="s">
        <v>47</v>
      </c>
      <c r="I681">
        <f t="shared" si="20"/>
        <v>0</v>
      </c>
      <c r="J681" t="str">
        <f t="shared" si="21"/>
        <v>VERIFICAR</v>
      </c>
    </row>
    <row r="682" spans="1:10" ht="15" customHeight="1" x14ac:dyDescent="0.2">
      <c r="A682" s="4" t="s">
        <v>3410</v>
      </c>
      <c r="B682" s="4" t="s">
        <v>3411</v>
      </c>
      <c r="C682" s="4" t="s">
        <v>3412</v>
      </c>
      <c r="D682" s="4" t="s">
        <v>3413</v>
      </c>
      <c r="E682" s="4" t="s">
        <v>47</v>
      </c>
      <c r="F682" s="4" t="s">
        <v>3414</v>
      </c>
      <c r="G682" s="4" t="s">
        <v>47</v>
      </c>
      <c r="H682" s="4" t="s">
        <v>3415</v>
      </c>
      <c r="I682">
        <f t="shared" si="20"/>
        <v>21454</v>
      </c>
      <c r="J682" t="str">
        <f t="shared" si="21"/>
        <v>VERIFICAR</v>
      </c>
    </row>
    <row r="683" spans="1:10" ht="15" customHeight="1" x14ac:dyDescent="0.2">
      <c r="A683" s="3" t="s">
        <v>3416</v>
      </c>
      <c r="B683" s="3" t="s">
        <v>3417</v>
      </c>
      <c r="C683" s="3" t="s">
        <v>3418</v>
      </c>
      <c r="D683" s="3" t="s">
        <v>3419</v>
      </c>
      <c r="E683" s="3" t="s">
        <v>3420</v>
      </c>
      <c r="F683" s="3" t="s">
        <v>47</v>
      </c>
      <c r="G683" s="3" t="s">
        <v>47</v>
      </c>
      <c r="H683" s="3" t="s">
        <v>3421</v>
      </c>
      <c r="I683">
        <f t="shared" si="20"/>
        <v>2436.9</v>
      </c>
      <c r="J683" t="str">
        <f t="shared" si="21"/>
        <v>VERIFICAR</v>
      </c>
    </row>
    <row r="684" spans="1:10" ht="15" customHeight="1" x14ac:dyDescent="0.2">
      <c r="A684" s="4" t="s">
        <v>3422</v>
      </c>
      <c r="B684" s="4" t="s">
        <v>3423</v>
      </c>
      <c r="C684" s="4" t="s">
        <v>3424</v>
      </c>
      <c r="D684" s="4" t="s">
        <v>3425</v>
      </c>
      <c r="E684" s="4" t="s">
        <v>47</v>
      </c>
      <c r="F684" s="4" t="s">
        <v>47</v>
      </c>
      <c r="G684" s="4" t="s">
        <v>47</v>
      </c>
      <c r="H684" s="4" t="s">
        <v>3426</v>
      </c>
      <c r="I684">
        <f t="shared" si="20"/>
        <v>65.959999999999994</v>
      </c>
      <c r="J684" t="str">
        <f t="shared" si="21"/>
        <v>VERIFICAR</v>
      </c>
    </row>
    <row r="685" spans="1:10" ht="15" customHeight="1" x14ac:dyDescent="0.2">
      <c r="A685" s="3" t="s">
        <v>3427</v>
      </c>
      <c r="B685" s="3" t="s">
        <v>3428</v>
      </c>
      <c r="C685" s="3" t="s">
        <v>3429</v>
      </c>
      <c r="D685" s="3" t="s">
        <v>3430</v>
      </c>
      <c r="E685" s="3" t="s">
        <v>47</v>
      </c>
      <c r="F685" s="3" t="s">
        <v>47</v>
      </c>
      <c r="G685" s="3" t="s">
        <v>47</v>
      </c>
      <c r="H685" s="3" t="s">
        <v>3431</v>
      </c>
      <c r="I685">
        <f t="shared" si="20"/>
        <v>482.9</v>
      </c>
      <c r="J685" t="str">
        <f t="shared" si="21"/>
        <v>VERIFICAR</v>
      </c>
    </row>
    <row r="686" spans="1:10" ht="15" customHeight="1" x14ac:dyDescent="0.2">
      <c r="A686" s="4" t="s">
        <v>3432</v>
      </c>
      <c r="B686" s="4" t="s">
        <v>3433</v>
      </c>
      <c r="C686" s="4" t="s">
        <v>3434</v>
      </c>
      <c r="D686" s="4" t="s">
        <v>3434</v>
      </c>
      <c r="E686" s="4" t="s">
        <v>47</v>
      </c>
      <c r="F686" s="4" t="s">
        <v>3435</v>
      </c>
      <c r="G686" s="4" t="s">
        <v>47</v>
      </c>
      <c r="H686" s="4" t="s">
        <v>3435</v>
      </c>
      <c r="I686">
        <f t="shared" si="20"/>
        <v>1116.81</v>
      </c>
      <c r="J686" t="str">
        <f t="shared" si="21"/>
        <v>VERIFICAR</v>
      </c>
    </row>
    <row r="687" spans="1:10" ht="15" customHeight="1" x14ac:dyDescent="0.2">
      <c r="A687" s="3" t="s">
        <v>3436</v>
      </c>
      <c r="B687" s="3" t="s">
        <v>3437</v>
      </c>
      <c r="C687" s="3" t="s">
        <v>3438</v>
      </c>
      <c r="D687" s="3" t="s">
        <v>3439</v>
      </c>
      <c r="E687" s="3" t="s">
        <v>47</v>
      </c>
      <c r="F687" s="3" t="s">
        <v>47</v>
      </c>
      <c r="G687" s="3" t="s">
        <v>47</v>
      </c>
      <c r="H687" s="3" t="s">
        <v>3440</v>
      </c>
      <c r="I687">
        <f t="shared" si="20"/>
        <v>4.5999999999999996</v>
      </c>
      <c r="J687" t="str">
        <f t="shared" si="21"/>
        <v>VERIFICAR</v>
      </c>
    </row>
    <row r="688" spans="1:10" ht="15" customHeight="1" x14ac:dyDescent="0.2">
      <c r="A688" s="4" t="s">
        <v>3441</v>
      </c>
      <c r="B688" s="4" t="s">
        <v>3442</v>
      </c>
      <c r="C688" s="4" t="s">
        <v>3443</v>
      </c>
      <c r="D688" s="4" t="s">
        <v>3444</v>
      </c>
      <c r="E688" s="4" t="s">
        <v>47</v>
      </c>
      <c r="F688" s="4" t="s">
        <v>47</v>
      </c>
      <c r="G688" s="4" t="s">
        <v>47</v>
      </c>
      <c r="H688" s="4" t="s">
        <v>3445</v>
      </c>
      <c r="I688">
        <f t="shared" si="20"/>
        <v>1748.02</v>
      </c>
      <c r="J688" t="str">
        <f t="shared" si="21"/>
        <v>VERIFICAR</v>
      </c>
    </row>
    <row r="689" spans="1:10" ht="15" customHeight="1" x14ac:dyDescent="0.2">
      <c r="A689" s="3" t="s">
        <v>3446</v>
      </c>
      <c r="B689" s="3" t="s">
        <v>3447</v>
      </c>
      <c r="C689" s="3" t="s">
        <v>3448</v>
      </c>
      <c r="D689" s="3" t="s">
        <v>3449</v>
      </c>
      <c r="E689" s="3" t="s">
        <v>47</v>
      </c>
      <c r="F689" s="3" t="s">
        <v>47</v>
      </c>
      <c r="G689" s="3" t="s">
        <v>47</v>
      </c>
      <c r="H689" s="3" t="s">
        <v>3450</v>
      </c>
      <c r="I689">
        <f t="shared" si="20"/>
        <v>875</v>
      </c>
      <c r="J689" t="str">
        <f t="shared" si="21"/>
        <v>VERIFICAR</v>
      </c>
    </row>
    <row r="690" spans="1:10" ht="15" customHeight="1" x14ac:dyDescent="0.2">
      <c r="A690" s="4" t="s">
        <v>3451</v>
      </c>
      <c r="B690" s="4" t="s">
        <v>3452</v>
      </c>
      <c r="C690" s="4" t="s">
        <v>3453</v>
      </c>
      <c r="D690" s="4" t="s">
        <v>3454</v>
      </c>
      <c r="E690" s="4" t="s">
        <v>478</v>
      </c>
      <c r="F690" s="4" t="s">
        <v>3455</v>
      </c>
      <c r="G690" s="4" t="s">
        <v>47</v>
      </c>
      <c r="H690" s="4" t="s">
        <v>3456</v>
      </c>
      <c r="I690">
        <f t="shared" si="20"/>
        <v>2113</v>
      </c>
      <c r="J690" t="str">
        <f t="shared" si="21"/>
        <v>VERIFICAR</v>
      </c>
    </row>
    <row r="691" spans="1:10" ht="15" customHeight="1" x14ac:dyDescent="0.2">
      <c r="A691" s="3" t="s">
        <v>3457</v>
      </c>
      <c r="B691" s="3" t="s">
        <v>3458</v>
      </c>
      <c r="C691" s="3" t="s">
        <v>3459</v>
      </c>
      <c r="D691" s="3" t="s">
        <v>3460</v>
      </c>
      <c r="E691" s="3" t="s">
        <v>47</v>
      </c>
      <c r="F691" s="3" t="s">
        <v>47</v>
      </c>
      <c r="G691" s="3" t="s">
        <v>47</v>
      </c>
      <c r="H691" s="3" t="s">
        <v>3461</v>
      </c>
      <c r="I691">
        <f t="shared" si="20"/>
        <v>28276.95</v>
      </c>
      <c r="J691" t="str">
        <f t="shared" si="21"/>
        <v>VERIFICAR</v>
      </c>
    </row>
    <row r="692" spans="1:10" ht="15" customHeight="1" x14ac:dyDescent="0.2">
      <c r="A692" s="4" t="s">
        <v>3462</v>
      </c>
      <c r="B692" s="4" t="s">
        <v>693</v>
      </c>
      <c r="C692" s="4" t="s">
        <v>3463</v>
      </c>
      <c r="D692" s="4" t="s">
        <v>3464</v>
      </c>
      <c r="E692" s="4" t="s">
        <v>47</v>
      </c>
      <c r="F692" s="4" t="s">
        <v>47</v>
      </c>
      <c r="G692" s="4" t="s">
        <v>47</v>
      </c>
      <c r="H692" s="4" t="s">
        <v>3465</v>
      </c>
      <c r="I692">
        <f t="shared" si="20"/>
        <v>3098.8</v>
      </c>
      <c r="J692" t="str">
        <f t="shared" si="21"/>
        <v>VERIFICAR</v>
      </c>
    </row>
    <row r="693" spans="1:10" ht="15" customHeight="1" x14ac:dyDescent="0.2">
      <c r="A693" s="3" t="s">
        <v>3466</v>
      </c>
      <c r="B693" s="3" t="s">
        <v>3467</v>
      </c>
      <c r="C693" s="3" t="s">
        <v>1454</v>
      </c>
      <c r="D693" s="3" t="s">
        <v>3468</v>
      </c>
      <c r="E693" s="3" t="s">
        <v>47</v>
      </c>
      <c r="F693" s="3" t="s">
        <v>47</v>
      </c>
      <c r="G693" s="3" t="s">
        <v>47</v>
      </c>
      <c r="H693" s="3" t="s">
        <v>3156</v>
      </c>
      <c r="I693">
        <f t="shared" si="20"/>
        <v>60</v>
      </c>
      <c r="J693" t="str">
        <f t="shared" si="21"/>
        <v>VERIFICAR</v>
      </c>
    </row>
    <row r="694" spans="1:10" ht="15" customHeight="1" x14ac:dyDescent="0.2">
      <c r="A694" s="4" t="s">
        <v>3469</v>
      </c>
      <c r="B694" s="4" t="s">
        <v>3470</v>
      </c>
      <c r="C694" s="4" t="s">
        <v>3471</v>
      </c>
      <c r="D694" s="4" t="s">
        <v>3472</v>
      </c>
      <c r="E694" s="4" t="s">
        <v>3473</v>
      </c>
      <c r="F694" s="4" t="s">
        <v>3474</v>
      </c>
      <c r="G694" s="4" t="s">
        <v>47</v>
      </c>
      <c r="H694" s="4" t="s">
        <v>3475</v>
      </c>
      <c r="I694">
        <f t="shared" si="20"/>
        <v>1349</v>
      </c>
      <c r="J694" t="str">
        <f t="shared" si="21"/>
        <v>VERIFICAR</v>
      </c>
    </row>
    <row r="695" spans="1:10" ht="15" customHeight="1" x14ac:dyDescent="0.2">
      <c r="A695" s="3" t="s">
        <v>3476</v>
      </c>
      <c r="B695" s="3" t="s">
        <v>3477</v>
      </c>
      <c r="C695" s="3" t="s">
        <v>3478</v>
      </c>
      <c r="D695" s="3" t="s">
        <v>3479</v>
      </c>
      <c r="E695" s="3" t="s">
        <v>47</v>
      </c>
      <c r="F695" s="3" t="s">
        <v>47</v>
      </c>
      <c r="G695" s="3" t="s">
        <v>47</v>
      </c>
      <c r="H695" s="3" t="s">
        <v>3480</v>
      </c>
      <c r="I695">
        <f t="shared" si="20"/>
        <v>1365</v>
      </c>
      <c r="J695" t="str">
        <f t="shared" si="21"/>
        <v>VERIFICAR</v>
      </c>
    </row>
    <row r="696" spans="1:10" ht="15" customHeight="1" x14ac:dyDescent="0.2">
      <c r="A696" s="4" t="s">
        <v>3481</v>
      </c>
      <c r="B696" s="4" t="s">
        <v>3482</v>
      </c>
      <c r="C696" s="4" t="s">
        <v>3483</v>
      </c>
      <c r="D696" s="4" t="s">
        <v>3484</v>
      </c>
      <c r="E696" s="4" t="s">
        <v>47</v>
      </c>
      <c r="F696" s="4" t="s">
        <v>47</v>
      </c>
      <c r="G696" s="4" t="s">
        <v>47</v>
      </c>
      <c r="H696" s="4" t="s">
        <v>3485</v>
      </c>
      <c r="I696">
        <f t="shared" si="20"/>
        <v>352.19</v>
      </c>
      <c r="J696" t="str">
        <f t="shared" si="21"/>
        <v>VERIFICAR</v>
      </c>
    </row>
    <row r="697" spans="1:10" ht="15" customHeight="1" x14ac:dyDescent="0.2">
      <c r="A697" s="3" t="s">
        <v>3486</v>
      </c>
      <c r="B697" s="3" t="s">
        <v>3487</v>
      </c>
      <c r="C697" s="3" t="s">
        <v>3488</v>
      </c>
      <c r="D697" s="3" t="s">
        <v>3489</v>
      </c>
      <c r="E697" s="3" t="s">
        <v>47</v>
      </c>
      <c r="F697" s="3" t="s">
        <v>47</v>
      </c>
      <c r="G697" s="3" t="s">
        <v>47</v>
      </c>
      <c r="H697" s="3" t="s">
        <v>3490</v>
      </c>
      <c r="I697">
        <f t="shared" si="20"/>
        <v>232.66</v>
      </c>
      <c r="J697" t="str">
        <f t="shared" si="21"/>
        <v>VERIFICAR</v>
      </c>
    </row>
    <row r="698" spans="1:10" ht="15" customHeight="1" x14ac:dyDescent="0.2">
      <c r="A698" s="4" t="s">
        <v>3491</v>
      </c>
      <c r="B698" s="4" t="s">
        <v>3492</v>
      </c>
      <c r="C698" s="4" t="s">
        <v>3493</v>
      </c>
      <c r="D698" s="4" t="s">
        <v>3494</v>
      </c>
      <c r="E698" s="4" t="s">
        <v>3495</v>
      </c>
      <c r="F698" s="4" t="s">
        <v>3496</v>
      </c>
      <c r="G698" s="4" t="s">
        <v>47</v>
      </c>
      <c r="H698" s="4" t="s">
        <v>3496</v>
      </c>
      <c r="I698">
        <f t="shared" si="20"/>
        <v>290.76</v>
      </c>
      <c r="J698" t="str">
        <f t="shared" si="21"/>
        <v>VERIFICAR</v>
      </c>
    </row>
    <row r="699" spans="1:10" ht="15" customHeight="1" x14ac:dyDescent="0.2">
      <c r="A699" s="3" t="s">
        <v>3497</v>
      </c>
      <c r="B699" s="3" t="s">
        <v>3498</v>
      </c>
      <c r="C699" s="3" t="s">
        <v>3499</v>
      </c>
      <c r="D699" s="3" t="s">
        <v>3500</v>
      </c>
      <c r="E699" s="3" t="s">
        <v>47</v>
      </c>
      <c r="F699" s="3" t="s">
        <v>915</v>
      </c>
      <c r="G699" s="3" t="s">
        <v>47</v>
      </c>
      <c r="H699" s="3" t="s">
        <v>3501</v>
      </c>
      <c r="I699">
        <f t="shared" si="20"/>
        <v>1161</v>
      </c>
      <c r="J699" t="str">
        <f t="shared" si="21"/>
        <v>VERIFICAR</v>
      </c>
    </row>
    <row r="700" spans="1:10" ht="15" customHeight="1" x14ac:dyDescent="0.2">
      <c r="A700" s="4" t="s">
        <v>3502</v>
      </c>
      <c r="B700" s="4" t="s">
        <v>3503</v>
      </c>
      <c r="C700" s="4" t="s">
        <v>3504</v>
      </c>
      <c r="D700" s="4" t="s">
        <v>3505</v>
      </c>
      <c r="E700" s="4" t="s">
        <v>47</v>
      </c>
      <c r="F700" s="4" t="s">
        <v>47</v>
      </c>
      <c r="G700" s="4" t="s">
        <v>47</v>
      </c>
      <c r="H700" s="4" t="s">
        <v>639</v>
      </c>
      <c r="I700">
        <f t="shared" si="20"/>
        <v>500</v>
      </c>
      <c r="J700" t="str">
        <f t="shared" si="21"/>
        <v>VERIFICAR</v>
      </c>
    </row>
    <row r="701" spans="1:10" ht="15" customHeight="1" x14ac:dyDescent="0.2">
      <c r="A701" s="3" t="s">
        <v>3506</v>
      </c>
      <c r="B701" s="3" t="s">
        <v>3507</v>
      </c>
      <c r="C701" s="3" t="s">
        <v>3508</v>
      </c>
      <c r="D701" s="3" t="s">
        <v>3508</v>
      </c>
      <c r="E701" s="3" t="s">
        <v>3509</v>
      </c>
      <c r="F701" s="3" t="s">
        <v>3509</v>
      </c>
      <c r="G701" s="3" t="s">
        <v>47</v>
      </c>
      <c r="H701" s="3" t="s">
        <v>47</v>
      </c>
      <c r="I701">
        <f t="shared" si="20"/>
        <v>0</v>
      </c>
      <c r="J701" t="str">
        <f t="shared" si="21"/>
        <v>VERIFICAR</v>
      </c>
    </row>
    <row r="702" spans="1:10" ht="15" customHeight="1" x14ac:dyDescent="0.2">
      <c r="A702" s="4" t="s">
        <v>3510</v>
      </c>
      <c r="B702" s="4" t="s">
        <v>3511</v>
      </c>
      <c r="C702" s="4" t="s">
        <v>3512</v>
      </c>
      <c r="D702" s="4" t="s">
        <v>3512</v>
      </c>
      <c r="E702" s="4" t="s">
        <v>3513</v>
      </c>
      <c r="F702" s="4" t="s">
        <v>3514</v>
      </c>
      <c r="G702" s="4" t="s">
        <v>47</v>
      </c>
      <c r="H702" s="4" t="s">
        <v>3515</v>
      </c>
      <c r="I702">
        <f t="shared" si="20"/>
        <v>258.26</v>
      </c>
      <c r="J702" t="str">
        <f t="shared" si="21"/>
        <v>VERIFICAR</v>
      </c>
    </row>
    <row r="703" spans="1:10" ht="15" customHeight="1" x14ac:dyDescent="0.2">
      <c r="A703" s="3" t="s">
        <v>3516</v>
      </c>
      <c r="B703" s="3" t="s">
        <v>3517</v>
      </c>
      <c r="C703" s="3" t="s">
        <v>1801</v>
      </c>
      <c r="D703" s="3" t="s">
        <v>3518</v>
      </c>
      <c r="E703" s="3" t="s">
        <v>47</v>
      </c>
      <c r="F703" s="3" t="s">
        <v>47</v>
      </c>
      <c r="G703" s="3" t="s">
        <v>47</v>
      </c>
      <c r="H703" s="3" t="s">
        <v>3519</v>
      </c>
      <c r="I703">
        <f t="shared" si="20"/>
        <v>68</v>
      </c>
      <c r="J703" t="str">
        <f t="shared" si="21"/>
        <v>VERIFICAR</v>
      </c>
    </row>
    <row r="704" spans="1:10" ht="15" customHeight="1" x14ac:dyDescent="0.2">
      <c r="A704" s="4" t="s">
        <v>3520</v>
      </c>
      <c r="B704" s="4" t="s">
        <v>3521</v>
      </c>
      <c r="C704" s="4" t="s">
        <v>3522</v>
      </c>
      <c r="D704" s="4" t="s">
        <v>3523</v>
      </c>
      <c r="E704" s="4" t="s">
        <v>47</v>
      </c>
      <c r="F704" s="4" t="s">
        <v>47</v>
      </c>
      <c r="G704" s="4" t="s">
        <v>47</v>
      </c>
      <c r="H704" s="4" t="s">
        <v>3524</v>
      </c>
      <c r="I704">
        <f t="shared" si="20"/>
        <v>10132.290000000001</v>
      </c>
      <c r="J704" t="str">
        <f t="shared" si="21"/>
        <v>VERIFICAR</v>
      </c>
    </row>
    <row r="705" spans="1:10" ht="15" customHeight="1" x14ac:dyDescent="0.2">
      <c r="A705" s="3" t="s">
        <v>3525</v>
      </c>
      <c r="B705" s="3" t="s">
        <v>3526</v>
      </c>
      <c r="C705" s="3" t="s">
        <v>3527</v>
      </c>
      <c r="D705" s="3" t="s">
        <v>3528</v>
      </c>
      <c r="E705" s="3" t="s">
        <v>47</v>
      </c>
      <c r="F705" s="3" t="s">
        <v>47</v>
      </c>
      <c r="G705" s="3" t="s">
        <v>47</v>
      </c>
      <c r="H705" s="3" t="s">
        <v>3529</v>
      </c>
      <c r="I705">
        <f t="shared" si="20"/>
        <v>261.51</v>
      </c>
      <c r="J705" t="str">
        <f t="shared" si="21"/>
        <v>VERIFICAR</v>
      </c>
    </row>
    <row r="706" spans="1:10" ht="15" customHeight="1" x14ac:dyDescent="0.2">
      <c r="A706" s="4" t="s">
        <v>3530</v>
      </c>
      <c r="B706" s="4" t="s">
        <v>3531</v>
      </c>
      <c r="C706" s="4" t="s">
        <v>3532</v>
      </c>
      <c r="D706" s="4" t="s">
        <v>3533</v>
      </c>
      <c r="E706" s="4" t="s">
        <v>3534</v>
      </c>
      <c r="F706" s="4" t="s">
        <v>3535</v>
      </c>
      <c r="G706" s="4" t="s">
        <v>47</v>
      </c>
      <c r="H706" s="4" t="s">
        <v>3535</v>
      </c>
      <c r="I706">
        <f t="shared" si="20"/>
        <v>32</v>
      </c>
      <c r="J706" t="str">
        <f t="shared" si="21"/>
        <v>VERIFICAR</v>
      </c>
    </row>
    <row r="707" spans="1:10" ht="15" customHeight="1" x14ac:dyDescent="0.2">
      <c r="A707" s="3" t="s">
        <v>3536</v>
      </c>
      <c r="B707" s="3" t="s">
        <v>588</v>
      </c>
      <c r="C707" s="3" t="s">
        <v>47</v>
      </c>
      <c r="D707" s="3" t="s">
        <v>411</v>
      </c>
      <c r="E707" s="3" t="s">
        <v>47</v>
      </c>
      <c r="F707" s="3" t="s">
        <v>47</v>
      </c>
      <c r="G707" s="3" t="s">
        <v>47</v>
      </c>
      <c r="H707" s="3" t="s">
        <v>411</v>
      </c>
      <c r="I707">
        <f t="shared" si="20"/>
        <v>100</v>
      </c>
      <c r="J707" t="str">
        <f t="shared" si="21"/>
        <v>VERIFICAR</v>
      </c>
    </row>
    <row r="708" spans="1:10" ht="15" customHeight="1" x14ac:dyDescent="0.2">
      <c r="A708" s="4" t="s">
        <v>3537</v>
      </c>
      <c r="B708" s="4" t="s">
        <v>965</v>
      </c>
      <c r="C708" s="4" t="s">
        <v>47</v>
      </c>
      <c r="D708" s="4" t="s">
        <v>639</v>
      </c>
      <c r="E708" s="4" t="s">
        <v>47</v>
      </c>
      <c r="F708" s="4" t="s">
        <v>47</v>
      </c>
      <c r="G708" s="4" t="s">
        <v>47</v>
      </c>
      <c r="H708" s="4" t="s">
        <v>639</v>
      </c>
      <c r="I708">
        <f t="shared" ref="I708:I771" si="22">IF(MID(A708,1,1)="1",G708-H708,IF(MID(A708,1,1)="2",H708-G708,"VERIFICAR"))</f>
        <v>500</v>
      </c>
      <c r="J708" t="str">
        <f t="shared" ref="J708:J771" si="23">IF(MID(A708,1,1)="1",H708-I708,IF(MID(B708,1,1)="2",I708-H708,IF(MID(A708,1,1)="3",F708-E708,IF(MID(A708,1,1)="4",E708-F708,"VERIFICAR"))))</f>
        <v>VERIFICAR</v>
      </c>
    </row>
    <row r="709" spans="1:10" ht="15" customHeight="1" x14ac:dyDescent="0.2">
      <c r="A709" s="3" t="s">
        <v>3538</v>
      </c>
      <c r="B709" s="3" t="s">
        <v>3539</v>
      </c>
      <c r="C709" s="3" t="s">
        <v>3540</v>
      </c>
      <c r="D709" s="3" t="s">
        <v>3541</v>
      </c>
      <c r="E709" s="3" t="s">
        <v>3542</v>
      </c>
      <c r="F709" s="3" t="s">
        <v>47</v>
      </c>
      <c r="G709" s="3" t="s">
        <v>47</v>
      </c>
      <c r="H709" s="3" t="s">
        <v>3543</v>
      </c>
      <c r="I709">
        <f t="shared" si="22"/>
        <v>123.74</v>
      </c>
      <c r="J709" t="str">
        <f t="shared" si="23"/>
        <v>VERIFICAR</v>
      </c>
    </row>
    <row r="710" spans="1:10" ht="15" customHeight="1" x14ac:dyDescent="0.2">
      <c r="A710" s="4" t="s">
        <v>3544</v>
      </c>
      <c r="B710" s="4" t="s">
        <v>3545</v>
      </c>
      <c r="C710" s="4" t="s">
        <v>3546</v>
      </c>
      <c r="D710" s="4" t="s">
        <v>3547</v>
      </c>
      <c r="E710" s="4" t="s">
        <v>47</v>
      </c>
      <c r="F710" s="4" t="s">
        <v>47</v>
      </c>
      <c r="G710" s="4" t="s">
        <v>47</v>
      </c>
      <c r="H710" s="4" t="s">
        <v>3548</v>
      </c>
      <c r="I710">
        <f t="shared" si="22"/>
        <v>50</v>
      </c>
      <c r="J710" t="str">
        <f t="shared" si="23"/>
        <v>VERIFICAR</v>
      </c>
    </row>
    <row r="711" spans="1:10" ht="15" customHeight="1" x14ac:dyDescent="0.2">
      <c r="A711" s="3" t="s">
        <v>3549</v>
      </c>
      <c r="B711" s="3" t="s">
        <v>1039</v>
      </c>
      <c r="C711" s="3" t="s">
        <v>47</v>
      </c>
      <c r="D711" s="3" t="s">
        <v>1040</v>
      </c>
      <c r="E711" s="3" t="s">
        <v>47</v>
      </c>
      <c r="F711" s="3" t="s">
        <v>47</v>
      </c>
      <c r="G711" s="3" t="s">
        <v>47</v>
      </c>
      <c r="H711" s="3" t="s">
        <v>1040</v>
      </c>
      <c r="I711">
        <f t="shared" si="22"/>
        <v>5664.03</v>
      </c>
      <c r="J711" t="str">
        <f t="shared" si="23"/>
        <v>VERIFICAR</v>
      </c>
    </row>
    <row r="712" spans="1:10" ht="15" customHeight="1" x14ac:dyDescent="0.2">
      <c r="A712" s="4" t="s">
        <v>3550</v>
      </c>
      <c r="B712" s="4" t="s">
        <v>3551</v>
      </c>
      <c r="C712" s="4" t="s">
        <v>3552</v>
      </c>
      <c r="D712" s="4" t="s">
        <v>3553</v>
      </c>
      <c r="E712" s="4" t="s">
        <v>47</v>
      </c>
      <c r="F712" s="4" t="s">
        <v>47</v>
      </c>
      <c r="G712" s="4" t="s">
        <v>47</v>
      </c>
      <c r="H712" s="4" t="s">
        <v>3554</v>
      </c>
      <c r="I712">
        <f t="shared" si="22"/>
        <v>149</v>
      </c>
      <c r="J712" t="str">
        <f t="shared" si="23"/>
        <v>VERIFICAR</v>
      </c>
    </row>
    <row r="713" spans="1:10" ht="15" customHeight="1" x14ac:dyDescent="0.2">
      <c r="A713" s="3" t="s">
        <v>3555</v>
      </c>
      <c r="B713" s="3" t="s">
        <v>3556</v>
      </c>
      <c r="C713" s="3" t="s">
        <v>1214</v>
      </c>
      <c r="D713" s="3" t="s">
        <v>3557</v>
      </c>
      <c r="E713" s="3" t="s">
        <v>47</v>
      </c>
      <c r="F713" s="3" t="s">
        <v>47</v>
      </c>
      <c r="G713" s="3" t="s">
        <v>47</v>
      </c>
      <c r="H713" s="3" t="s">
        <v>1037</v>
      </c>
      <c r="I713">
        <f t="shared" si="22"/>
        <v>1010.53</v>
      </c>
      <c r="J713" t="str">
        <f t="shared" si="23"/>
        <v>VERIFICAR</v>
      </c>
    </row>
    <row r="714" spans="1:10" ht="15" customHeight="1" x14ac:dyDescent="0.2">
      <c r="A714" s="4" t="s">
        <v>3558</v>
      </c>
      <c r="B714" s="4" t="s">
        <v>3559</v>
      </c>
      <c r="C714" s="4" t="s">
        <v>3560</v>
      </c>
      <c r="D714" s="4" t="s">
        <v>3561</v>
      </c>
      <c r="E714" s="4" t="s">
        <v>47</v>
      </c>
      <c r="F714" s="4" t="s">
        <v>47</v>
      </c>
      <c r="G714" s="4" t="s">
        <v>47</v>
      </c>
      <c r="H714" s="4" t="s">
        <v>3042</v>
      </c>
      <c r="I714">
        <f t="shared" si="22"/>
        <v>180</v>
      </c>
      <c r="J714" t="str">
        <f t="shared" si="23"/>
        <v>VERIFICAR</v>
      </c>
    </row>
    <row r="715" spans="1:10" ht="15" customHeight="1" x14ac:dyDescent="0.2">
      <c r="A715" s="3" t="s">
        <v>3562</v>
      </c>
      <c r="B715" s="3" t="s">
        <v>3563</v>
      </c>
      <c r="C715" s="3" t="s">
        <v>3564</v>
      </c>
      <c r="D715" s="3" t="s">
        <v>3565</v>
      </c>
      <c r="E715" s="3" t="s">
        <v>47</v>
      </c>
      <c r="F715" s="3" t="s">
        <v>47</v>
      </c>
      <c r="G715" s="3" t="s">
        <v>47</v>
      </c>
      <c r="H715" s="3" t="s">
        <v>3566</v>
      </c>
      <c r="I715">
        <f t="shared" si="22"/>
        <v>3190.92</v>
      </c>
      <c r="J715" t="str">
        <f t="shared" si="23"/>
        <v>VERIFICAR</v>
      </c>
    </row>
    <row r="716" spans="1:10" ht="15" customHeight="1" x14ac:dyDescent="0.2">
      <c r="A716" s="4" t="s">
        <v>3567</v>
      </c>
      <c r="B716" s="4" t="s">
        <v>1046</v>
      </c>
      <c r="C716" s="4" t="s">
        <v>47</v>
      </c>
      <c r="D716" s="4" t="s">
        <v>478</v>
      </c>
      <c r="E716" s="4" t="s">
        <v>47</v>
      </c>
      <c r="F716" s="4" t="s">
        <v>47</v>
      </c>
      <c r="G716" s="4" t="s">
        <v>47</v>
      </c>
      <c r="H716" s="4" t="s">
        <v>478</v>
      </c>
      <c r="I716">
        <f t="shared" si="22"/>
        <v>1500</v>
      </c>
      <c r="J716" t="str">
        <f t="shared" si="23"/>
        <v>VERIFICAR</v>
      </c>
    </row>
    <row r="717" spans="1:10" ht="15" customHeight="1" x14ac:dyDescent="0.2">
      <c r="A717" s="3" t="s">
        <v>3568</v>
      </c>
      <c r="B717" s="3" t="s">
        <v>1050</v>
      </c>
      <c r="C717" s="3" t="s">
        <v>47</v>
      </c>
      <c r="D717" s="3" t="s">
        <v>411</v>
      </c>
      <c r="E717" s="3" t="s">
        <v>47</v>
      </c>
      <c r="F717" s="3" t="s">
        <v>47</v>
      </c>
      <c r="G717" s="3" t="s">
        <v>47</v>
      </c>
      <c r="H717" s="3" t="s">
        <v>411</v>
      </c>
      <c r="I717">
        <f t="shared" si="22"/>
        <v>100</v>
      </c>
      <c r="J717" t="str">
        <f t="shared" si="23"/>
        <v>VERIFICAR</v>
      </c>
    </row>
    <row r="718" spans="1:10" ht="15" customHeight="1" x14ac:dyDescent="0.2">
      <c r="A718" s="4" t="s">
        <v>3569</v>
      </c>
      <c r="B718" s="4" t="s">
        <v>3570</v>
      </c>
      <c r="C718" s="4" t="s">
        <v>3571</v>
      </c>
      <c r="D718" s="4" t="s">
        <v>3571</v>
      </c>
      <c r="E718" s="4" t="s">
        <v>3572</v>
      </c>
      <c r="F718" s="4" t="s">
        <v>3572</v>
      </c>
      <c r="G718" s="4" t="s">
        <v>47</v>
      </c>
      <c r="H718" s="4" t="s">
        <v>47</v>
      </c>
      <c r="I718">
        <f t="shared" si="22"/>
        <v>0</v>
      </c>
      <c r="J718" t="str">
        <f t="shared" si="23"/>
        <v>VERIFICAR</v>
      </c>
    </row>
    <row r="719" spans="1:10" ht="15" customHeight="1" x14ac:dyDescent="0.2">
      <c r="A719" s="3" t="s">
        <v>3573</v>
      </c>
      <c r="B719" s="3" t="s">
        <v>3574</v>
      </c>
      <c r="C719" s="3" t="s">
        <v>47</v>
      </c>
      <c r="D719" s="3" t="s">
        <v>1214</v>
      </c>
      <c r="E719" s="3" t="s">
        <v>47</v>
      </c>
      <c r="F719" s="3" t="s">
        <v>47</v>
      </c>
      <c r="G719" s="3" t="s">
        <v>47</v>
      </c>
      <c r="H719" s="3" t="s">
        <v>1214</v>
      </c>
      <c r="I719">
        <f t="shared" si="22"/>
        <v>1000</v>
      </c>
      <c r="J719" t="str">
        <f t="shared" si="23"/>
        <v>VERIFICAR</v>
      </c>
    </row>
    <row r="720" spans="1:10" ht="15" customHeight="1" x14ac:dyDescent="0.2">
      <c r="A720" s="4" t="s">
        <v>3575</v>
      </c>
      <c r="B720" s="4" t="s">
        <v>3576</v>
      </c>
      <c r="C720" s="4" t="s">
        <v>3577</v>
      </c>
      <c r="D720" s="4" t="s">
        <v>3577</v>
      </c>
      <c r="E720" s="4" t="s">
        <v>3578</v>
      </c>
      <c r="F720" s="4" t="s">
        <v>3578</v>
      </c>
      <c r="G720" s="4" t="s">
        <v>47</v>
      </c>
      <c r="H720" s="4" t="s">
        <v>47</v>
      </c>
      <c r="I720">
        <f t="shared" si="22"/>
        <v>0</v>
      </c>
      <c r="J720" t="str">
        <f t="shared" si="23"/>
        <v>VERIFICAR</v>
      </c>
    </row>
    <row r="721" spans="1:10" ht="15" customHeight="1" x14ac:dyDescent="0.2">
      <c r="A721" s="3" t="s">
        <v>3579</v>
      </c>
      <c r="B721" s="3" t="s">
        <v>3580</v>
      </c>
      <c r="C721" s="3" t="s">
        <v>3581</v>
      </c>
      <c r="D721" s="3" t="s">
        <v>3582</v>
      </c>
      <c r="E721" s="3" t="s">
        <v>3583</v>
      </c>
      <c r="F721" s="3" t="s">
        <v>47</v>
      </c>
      <c r="G721" s="3" t="s">
        <v>47</v>
      </c>
      <c r="H721" s="3" t="s">
        <v>3584</v>
      </c>
      <c r="I721">
        <f t="shared" si="22"/>
        <v>3180.25</v>
      </c>
      <c r="J721" t="str">
        <f t="shared" si="23"/>
        <v>VERIFICAR</v>
      </c>
    </row>
    <row r="722" spans="1:10" ht="15" customHeight="1" x14ac:dyDescent="0.2">
      <c r="A722" s="4" t="s">
        <v>3585</v>
      </c>
      <c r="B722" s="4" t="s">
        <v>3586</v>
      </c>
      <c r="C722" s="4" t="s">
        <v>47</v>
      </c>
      <c r="D722" s="4" t="s">
        <v>1093</v>
      </c>
      <c r="E722" s="4" t="s">
        <v>47</v>
      </c>
      <c r="F722" s="4" t="s">
        <v>47</v>
      </c>
      <c r="G722" s="4" t="s">
        <v>47</v>
      </c>
      <c r="H722" s="4" t="s">
        <v>1093</v>
      </c>
      <c r="I722">
        <f t="shared" si="22"/>
        <v>2002</v>
      </c>
      <c r="J722" t="str">
        <f t="shared" si="23"/>
        <v>VERIFICAR</v>
      </c>
    </row>
    <row r="723" spans="1:10" ht="15" customHeight="1" x14ac:dyDescent="0.2">
      <c r="A723" s="3" t="s">
        <v>3587</v>
      </c>
      <c r="B723" s="3" t="s">
        <v>3588</v>
      </c>
      <c r="C723" s="3" t="s">
        <v>47</v>
      </c>
      <c r="D723" s="3" t="s">
        <v>1032</v>
      </c>
      <c r="E723" s="3" t="s">
        <v>47</v>
      </c>
      <c r="F723" s="3" t="s">
        <v>47</v>
      </c>
      <c r="G723" s="3" t="s">
        <v>47</v>
      </c>
      <c r="H723" s="3" t="s">
        <v>1032</v>
      </c>
      <c r="I723">
        <f t="shared" si="22"/>
        <v>9000</v>
      </c>
      <c r="J723" t="str">
        <f t="shared" si="23"/>
        <v>VERIFICAR</v>
      </c>
    </row>
    <row r="724" spans="1:10" ht="15" customHeight="1" x14ac:dyDescent="0.2">
      <c r="A724" s="4" t="s">
        <v>3589</v>
      </c>
      <c r="B724" s="4" t="s">
        <v>3590</v>
      </c>
      <c r="C724" s="4" t="s">
        <v>3591</v>
      </c>
      <c r="D724" s="4" t="s">
        <v>3592</v>
      </c>
      <c r="E724" s="4" t="s">
        <v>47</v>
      </c>
      <c r="F724" s="4" t="s">
        <v>47</v>
      </c>
      <c r="G724" s="4" t="s">
        <v>47</v>
      </c>
      <c r="H724" s="4" t="s">
        <v>3593</v>
      </c>
      <c r="I724">
        <f t="shared" si="22"/>
        <v>570</v>
      </c>
      <c r="J724" t="str">
        <f t="shared" si="23"/>
        <v>VERIFICAR</v>
      </c>
    </row>
    <row r="725" spans="1:10" ht="15" customHeight="1" x14ac:dyDescent="0.2">
      <c r="A725" s="3" t="s">
        <v>3594</v>
      </c>
      <c r="B725" s="3" t="s">
        <v>3595</v>
      </c>
      <c r="C725" s="3" t="s">
        <v>3596</v>
      </c>
      <c r="D725" s="3" t="s">
        <v>3597</v>
      </c>
      <c r="E725" s="3" t="s">
        <v>3598</v>
      </c>
      <c r="F725" s="3" t="s">
        <v>47</v>
      </c>
      <c r="G725" s="3" t="s">
        <v>47</v>
      </c>
      <c r="H725" s="3" t="s">
        <v>2615</v>
      </c>
      <c r="I725">
        <f t="shared" si="22"/>
        <v>220</v>
      </c>
      <c r="J725" t="str">
        <f t="shared" si="23"/>
        <v>VERIFICAR</v>
      </c>
    </row>
    <row r="726" spans="1:10" ht="15" customHeight="1" x14ac:dyDescent="0.2">
      <c r="A726" s="4" t="s">
        <v>3599</v>
      </c>
      <c r="B726" s="4" t="s">
        <v>3600</v>
      </c>
      <c r="C726" s="4" t="s">
        <v>3601</v>
      </c>
      <c r="D726" s="4" t="s">
        <v>3601</v>
      </c>
      <c r="E726" s="4" t="s">
        <v>3602</v>
      </c>
      <c r="F726" s="4" t="s">
        <v>3602</v>
      </c>
      <c r="G726" s="4" t="s">
        <v>47</v>
      </c>
      <c r="H726" s="4" t="s">
        <v>47</v>
      </c>
      <c r="I726">
        <f t="shared" si="22"/>
        <v>0</v>
      </c>
      <c r="J726" t="str">
        <f t="shared" si="23"/>
        <v>VERIFICAR</v>
      </c>
    </row>
    <row r="727" spans="1:10" ht="15" customHeight="1" x14ac:dyDescent="0.2">
      <c r="A727" s="3" t="s">
        <v>3603</v>
      </c>
      <c r="B727" s="3" t="s">
        <v>3604</v>
      </c>
      <c r="C727" s="3" t="s">
        <v>3605</v>
      </c>
      <c r="D727" s="3" t="s">
        <v>3606</v>
      </c>
      <c r="E727" s="3" t="s">
        <v>47</v>
      </c>
      <c r="F727" s="3" t="s">
        <v>47</v>
      </c>
      <c r="G727" s="3" t="s">
        <v>47</v>
      </c>
      <c r="H727" s="3" t="s">
        <v>3607</v>
      </c>
      <c r="I727">
        <f t="shared" si="22"/>
        <v>10.5</v>
      </c>
      <c r="J727" t="str">
        <f t="shared" si="23"/>
        <v>VERIFICAR</v>
      </c>
    </row>
    <row r="728" spans="1:10" ht="15" customHeight="1" x14ac:dyDescent="0.2">
      <c r="A728" s="4" t="s">
        <v>3608</v>
      </c>
      <c r="B728" s="4" t="s">
        <v>1206</v>
      </c>
      <c r="C728" s="4" t="s">
        <v>47</v>
      </c>
      <c r="D728" s="4" t="s">
        <v>1209</v>
      </c>
      <c r="E728" s="4" t="s">
        <v>47</v>
      </c>
      <c r="F728" s="4" t="s">
        <v>47</v>
      </c>
      <c r="G728" s="4" t="s">
        <v>47</v>
      </c>
      <c r="H728" s="4" t="s">
        <v>1209</v>
      </c>
      <c r="I728">
        <f t="shared" si="22"/>
        <v>600</v>
      </c>
      <c r="J728" t="str">
        <f t="shared" si="23"/>
        <v>VERIFICAR</v>
      </c>
    </row>
    <row r="729" spans="1:10" ht="15" customHeight="1" x14ac:dyDescent="0.2">
      <c r="A729" s="3" t="s">
        <v>3609</v>
      </c>
      <c r="B729" s="3" t="s">
        <v>3610</v>
      </c>
      <c r="C729" s="3" t="s">
        <v>47</v>
      </c>
      <c r="D729" s="3" t="s">
        <v>1214</v>
      </c>
      <c r="E729" s="3" t="s">
        <v>47</v>
      </c>
      <c r="F729" s="3" t="s">
        <v>47</v>
      </c>
      <c r="G729" s="3" t="s">
        <v>47</v>
      </c>
      <c r="H729" s="3" t="s">
        <v>1214</v>
      </c>
      <c r="I729">
        <f t="shared" si="22"/>
        <v>1000</v>
      </c>
      <c r="J729" t="str">
        <f t="shared" si="23"/>
        <v>VERIFICAR</v>
      </c>
    </row>
    <row r="730" spans="1:10" ht="15" customHeight="1" x14ac:dyDescent="0.2">
      <c r="A730" s="4" t="s">
        <v>3611</v>
      </c>
      <c r="B730" s="4" t="s">
        <v>3411</v>
      </c>
      <c r="C730" s="4" t="s">
        <v>3612</v>
      </c>
      <c r="D730" s="4" t="s">
        <v>3613</v>
      </c>
      <c r="E730" s="4" t="s">
        <v>47</v>
      </c>
      <c r="F730" s="4" t="s">
        <v>47</v>
      </c>
      <c r="G730" s="4" t="s">
        <v>47</v>
      </c>
      <c r="H730" s="4" t="s">
        <v>3614</v>
      </c>
      <c r="I730">
        <f t="shared" si="22"/>
        <v>224.16</v>
      </c>
      <c r="J730" t="str">
        <f t="shared" si="23"/>
        <v>VERIFICAR</v>
      </c>
    </row>
    <row r="731" spans="1:10" ht="15" customHeight="1" x14ac:dyDescent="0.2">
      <c r="A731" s="3" t="s">
        <v>3615</v>
      </c>
      <c r="B731" s="3" t="s">
        <v>3616</v>
      </c>
      <c r="C731" s="3" t="s">
        <v>427</v>
      </c>
      <c r="D731" s="3" t="s">
        <v>3617</v>
      </c>
      <c r="E731" s="3" t="s">
        <v>47</v>
      </c>
      <c r="F731" s="3" t="s">
        <v>47</v>
      </c>
      <c r="G731" s="3" t="s">
        <v>47</v>
      </c>
      <c r="H731" s="3" t="s">
        <v>3592</v>
      </c>
      <c r="I731">
        <f t="shared" si="22"/>
        <v>2000</v>
      </c>
      <c r="J731" t="str">
        <f t="shared" si="23"/>
        <v>VERIFICAR</v>
      </c>
    </row>
    <row r="732" spans="1:10" ht="15" customHeight="1" x14ac:dyDescent="0.2">
      <c r="A732" s="4" t="s">
        <v>3618</v>
      </c>
      <c r="B732" s="4" t="s">
        <v>3619</v>
      </c>
      <c r="C732" s="4" t="s">
        <v>3620</v>
      </c>
      <c r="D732" s="4" t="s">
        <v>3621</v>
      </c>
      <c r="E732" s="4" t="s">
        <v>47</v>
      </c>
      <c r="F732" s="4" t="s">
        <v>47</v>
      </c>
      <c r="G732" s="4" t="s">
        <v>47</v>
      </c>
      <c r="H732" s="4" t="s">
        <v>3622</v>
      </c>
      <c r="I732">
        <f t="shared" si="22"/>
        <v>2031.12</v>
      </c>
      <c r="J732" t="str">
        <f t="shared" si="23"/>
        <v>VERIFICAR</v>
      </c>
    </row>
    <row r="733" spans="1:10" ht="15" customHeight="1" x14ac:dyDescent="0.2">
      <c r="A733" s="3" t="s">
        <v>3623</v>
      </c>
      <c r="B733" s="3" t="s">
        <v>3624</v>
      </c>
      <c r="C733" s="3" t="s">
        <v>3625</v>
      </c>
      <c r="D733" s="3" t="s">
        <v>3626</v>
      </c>
      <c r="E733" s="3" t="s">
        <v>3627</v>
      </c>
      <c r="F733" s="3" t="s">
        <v>3627</v>
      </c>
      <c r="G733" s="3" t="s">
        <v>47</v>
      </c>
      <c r="H733" s="3" t="s">
        <v>3628</v>
      </c>
      <c r="I733">
        <f t="shared" si="22"/>
        <v>8</v>
      </c>
      <c r="J733" t="str">
        <f t="shared" si="23"/>
        <v>VERIFICAR</v>
      </c>
    </row>
    <row r="734" spans="1:10" ht="15" customHeight="1" x14ac:dyDescent="0.2">
      <c r="A734" s="4" t="s">
        <v>3629</v>
      </c>
      <c r="B734" s="4" t="s">
        <v>3630</v>
      </c>
      <c r="C734" s="4" t="s">
        <v>3631</v>
      </c>
      <c r="D734" s="4" t="s">
        <v>3632</v>
      </c>
      <c r="E734" s="4" t="s">
        <v>47</v>
      </c>
      <c r="F734" s="4" t="s">
        <v>47</v>
      </c>
      <c r="G734" s="4" t="s">
        <v>47</v>
      </c>
      <c r="H734" s="4" t="s">
        <v>3633</v>
      </c>
      <c r="I734">
        <f t="shared" si="22"/>
        <v>1525</v>
      </c>
      <c r="J734" t="str">
        <f t="shared" si="23"/>
        <v>VERIFICAR</v>
      </c>
    </row>
    <row r="735" spans="1:10" ht="15" customHeight="1" x14ac:dyDescent="0.2">
      <c r="A735" s="3" t="s">
        <v>3634</v>
      </c>
      <c r="B735" s="3" t="s">
        <v>475</v>
      </c>
      <c r="C735" s="3" t="s">
        <v>47</v>
      </c>
      <c r="D735" s="3" t="s">
        <v>478</v>
      </c>
      <c r="E735" s="3" t="s">
        <v>47</v>
      </c>
      <c r="F735" s="3" t="s">
        <v>47</v>
      </c>
      <c r="G735" s="3" t="s">
        <v>47</v>
      </c>
      <c r="H735" s="3" t="s">
        <v>478</v>
      </c>
      <c r="I735">
        <f t="shared" si="22"/>
        <v>1500</v>
      </c>
      <c r="J735" t="str">
        <f t="shared" si="23"/>
        <v>VERIFICAR</v>
      </c>
    </row>
    <row r="736" spans="1:10" ht="15" customHeight="1" x14ac:dyDescent="0.2">
      <c r="A736" s="4" t="s">
        <v>3635</v>
      </c>
      <c r="B736" s="4" t="s">
        <v>3636</v>
      </c>
      <c r="C736" s="4" t="s">
        <v>3637</v>
      </c>
      <c r="D736" s="4" t="s">
        <v>3638</v>
      </c>
      <c r="E736" s="4" t="s">
        <v>47</v>
      </c>
      <c r="F736" s="4" t="s">
        <v>47</v>
      </c>
      <c r="G736" s="4" t="s">
        <v>47</v>
      </c>
      <c r="H736" s="4" t="s">
        <v>2164</v>
      </c>
      <c r="I736">
        <f t="shared" si="22"/>
        <v>20</v>
      </c>
      <c r="J736" t="str">
        <f t="shared" si="23"/>
        <v>VERIFICAR</v>
      </c>
    </row>
    <row r="737" spans="1:10" ht="15" customHeight="1" x14ac:dyDescent="0.2">
      <c r="A737" s="3" t="s">
        <v>3639</v>
      </c>
      <c r="B737" s="3" t="s">
        <v>3640</v>
      </c>
      <c r="C737" s="3" t="s">
        <v>3641</v>
      </c>
      <c r="D737" s="3" t="s">
        <v>3642</v>
      </c>
      <c r="E737" s="3" t="s">
        <v>47</v>
      </c>
      <c r="F737" s="3" t="s">
        <v>47</v>
      </c>
      <c r="G737" s="3" t="s">
        <v>47</v>
      </c>
      <c r="H737" s="3" t="s">
        <v>3643</v>
      </c>
      <c r="I737">
        <f t="shared" si="22"/>
        <v>2394.7800000000002</v>
      </c>
      <c r="J737" t="str">
        <f t="shared" si="23"/>
        <v>VERIFICAR</v>
      </c>
    </row>
    <row r="738" spans="1:10" ht="15" customHeight="1" x14ac:dyDescent="0.2">
      <c r="A738" s="4" t="s">
        <v>3644</v>
      </c>
      <c r="B738" s="4" t="s">
        <v>3645</v>
      </c>
      <c r="C738" s="4" t="s">
        <v>3646</v>
      </c>
      <c r="D738" s="4" t="s">
        <v>3647</v>
      </c>
      <c r="E738" s="4" t="s">
        <v>47</v>
      </c>
      <c r="F738" s="4" t="s">
        <v>3648</v>
      </c>
      <c r="G738" s="4" t="s">
        <v>47</v>
      </c>
      <c r="H738" s="4" t="s">
        <v>3649</v>
      </c>
      <c r="I738">
        <f t="shared" si="22"/>
        <v>161.75</v>
      </c>
      <c r="J738" t="str">
        <f t="shared" si="23"/>
        <v>VERIFICAR</v>
      </c>
    </row>
    <row r="739" spans="1:10" ht="15" customHeight="1" x14ac:dyDescent="0.2">
      <c r="A739" s="3" t="s">
        <v>3650</v>
      </c>
      <c r="B739" s="3" t="s">
        <v>3651</v>
      </c>
      <c r="C739" s="3" t="s">
        <v>3652</v>
      </c>
      <c r="D739" s="3" t="s">
        <v>3652</v>
      </c>
      <c r="E739" s="3" t="s">
        <v>3653</v>
      </c>
      <c r="F739" s="3" t="s">
        <v>3653</v>
      </c>
      <c r="G739" s="3" t="s">
        <v>47</v>
      </c>
      <c r="H739" s="3" t="s">
        <v>47</v>
      </c>
      <c r="I739">
        <f t="shared" si="22"/>
        <v>0</v>
      </c>
      <c r="J739" t="str">
        <f t="shared" si="23"/>
        <v>VERIFICAR</v>
      </c>
    </row>
    <row r="740" spans="1:10" ht="15" customHeight="1" x14ac:dyDescent="0.2">
      <c r="A740" s="4" t="s">
        <v>3654</v>
      </c>
      <c r="B740" s="4" t="s">
        <v>3655</v>
      </c>
      <c r="C740" s="4" t="s">
        <v>47</v>
      </c>
      <c r="D740" s="4" t="s">
        <v>3656</v>
      </c>
      <c r="E740" s="4" t="s">
        <v>47</v>
      </c>
      <c r="F740" s="4" t="s">
        <v>47</v>
      </c>
      <c r="G740" s="4" t="s">
        <v>47</v>
      </c>
      <c r="H740" s="4" t="s">
        <v>3656</v>
      </c>
      <c r="I740">
        <f t="shared" si="22"/>
        <v>8576.34</v>
      </c>
      <c r="J740" t="str">
        <f t="shared" si="23"/>
        <v>VERIFICAR</v>
      </c>
    </row>
    <row r="741" spans="1:10" ht="15" customHeight="1" x14ac:dyDescent="0.2">
      <c r="A741" s="3" t="s">
        <v>3657</v>
      </c>
      <c r="B741" s="3" t="s">
        <v>3658</v>
      </c>
      <c r="C741" s="3" t="s">
        <v>3659</v>
      </c>
      <c r="D741" s="3" t="s">
        <v>3659</v>
      </c>
      <c r="E741" s="3" t="s">
        <v>47</v>
      </c>
      <c r="F741" s="3" t="s">
        <v>3660</v>
      </c>
      <c r="G741" s="3" t="s">
        <v>47</v>
      </c>
      <c r="H741" s="3" t="s">
        <v>3660</v>
      </c>
      <c r="I741">
        <f t="shared" si="22"/>
        <v>1421</v>
      </c>
      <c r="J741" t="str">
        <f t="shared" si="23"/>
        <v>VERIFICAR</v>
      </c>
    </row>
    <row r="742" spans="1:10" ht="15" customHeight="1" x14ac:dyDescent="0.2">
      <c r="A742" s="4" t="s">
        <v>3661</v>
      </c>
      <c r="B742" s="4" t="s">
        <v>3662</v>
      </c>
      <c r="C742" s="4" t="s">
        <v>3663</v>
      </c>
      <c r="D742" s="4" t="s">
        <v>3664</v>
      </c>
      <c r="E742" s="4" t="s">
        <v>47</v>
      </c>
      <c r="F742" s="4" t="s">
        <v>47</v>
      </c>
      <c r="G742" s="4" t="s">
        <v>47</v>
      </c>
      <c r="H742" s="4" t="s">
        <v>3665</v>
      </c>
      <c r="I742">
        <f t="shared" si="22"/>
        <v>52</v>
      </c>
      <c r="J742" t="str">
        <f t="shared" si="23"/>
        <v>VERIFICAR</v>
      </c>
    </row>
    <row r="743" spans="1:10" ht="15" customHeight="1" x14ac:dyDescent="0.2">
      <c r="A743" s="3" t="s">
        <v>3666</v>
      </c>
      <c r="B743" s="3" t="s">
        <v>3667</v>
      </c>
      <c r="C743" s="3" t="s">
        <v>3668</v>
      </c>
      <c r="D743" s="3" t="s">
        <v>3669</v>
      </c>
      <c r="E743" s="3" t="s">
        <v>47</v>
      </c>
      <c r="F743" s="3" t="s">
        <v>3670</v>
      </c>
      <c r="G743" s="3" t="s">
        <v>47</v>
      </c>
      <c r="H743" s="3" t="s">
        <v>3671</v>
      </c>
      <c r="I743">
        <f t="shared" si="22"/>
        <v>2660</v>
      </c>
      <c r="J743" t="str">
        <f t="shared" si="23"/>
        <v>VERIFICAR</v>
      </c>
    </row>
    <row r="744" spans="1:10" ht="15" customHeight="1" x14ac:dyDescent="0.2">
      <c r="A744" s="4" t="s">
        <v>3672</v>
      </c>
      <c r="B744" s="4" t="s">
        <v>3243</v>
      </c>
      <c r="C744" s="4" t="s">
        <v>3673</v>
      </c>
      <c r="D744" s="4" t="s">
        <v>3673</v>
      </c>
      <c r="E744" s="4" t="s">
        <v>3674</v>
      </c>
      <c r="F744" s="4" t="s">
        <v>3674</v>
      </c>
      <c r="G744" s="4" t="s">
        <v>47</v>
      </c>
      <c r="H744" s="4" t="s">
        <v>47</v>
      </c>
      <c r="I744">
        <f t="shared" si="22"/>
        <v>0</v>
      </c>
      <c r="J744" t="str">
        <f t="shared" si="23"/>
        <v>VERIFICAR</v>
      </c>
    </row>
    <row r="745" spans="1:10" ht="15" customHeight="1" x14ac:dyDescent="0.2">
      <c r="A745" s="3" t="s">
        <v>3675</v>
      </c>
      <c r="B745" s="3" t="s">
        <v>3676</v>
      </c>
      <c r="C745" s="3" t="s">
        <v>47</v>
      </c>
      <c r="D745" s="3" t="s">
        <v>47</v>
      </c>
      <c r="E745" s="3" t="s">
        <v>3677</v>
      </c>
      <c r="F745" s="3" t="s">
        <v>3677</v>
      </c>
      <c r="G745" s="3" t="s">
        <v>47</v>
      </c>
      <c r="H745" s="3" t="s">
        <v>47</v>
      </c>
      <c r="I745">
        <f t="shared" si="22"/>
        <v>0</v>
      </c>
      <c r="J745" t="str">
        <f t="shared" si="23"/>
        <v>VERIFICAR</v>
      </c>
    </row>
    <row r="746" spans="1:10" ht="15" customHeight="1" x14ac:dyDescent="0.2">
      <c r="A746" s="4" t="s">
        <v>3678</v>
      </c>
      <c r="B746" s="4" t="s">
        <v>3679</v>
      </c>
      <c r="C746" s="4" t="s">
        <v>47</v>
      </c>
      <c r="D746" s="4" t="s">
        <v>3680</v>
      </c>
      <c r="E746" s="4" t="s">
        <v>47</v>
      </c>
      <c r="F746" s="4" t="s">
        <v>47</v>
      </c>
      <c r="G746" s="4" t="s">
        <v>47</v>
      </c>
      <c r="H746" s="4" t="s">
        <v>3680</v>
      </c>
      <c r="I746">
        <f t="shared" si="22"/>
        <v>453.93</v>
      </c>
      <c r="J746" t="str">
        <f t="shared" si="23"/>
        <v>VERIFICAR</v>
      </c>
    </row>
    <row r="747" spans="1:10" ht="15" customHeight="1" x14ac:dyDescent="0.2">
      <c r="A747" s="3" t="s">
        <v>3681</v>
      </c>
      <c r="B747" s="3" t="s">
        <v>3682</v>
      </c>
      <c r="C747" s="3" t="s">
        <v>3683</v>
      </c>
      <c r="D747" s="3" t="s">
        <v>3684</v>
      </c>
      <c r="E747" s="3" t="s">
        <v>3685</v>
      </c>
      <c r="F747" s="3" t="s">
        <v>47</v>
      </c>
      <c r="G747" s="3" t="s">
        <v>47</v>
      </c>
      <c r="H747" s="3" t="s">
        <v>3686</v>
      </c>
      <c r="I747">
        <f t="shared" si="22"/>
        <v>315</v>
      </c>
      <c r="J747" t="str">
        <f t="shared" si="23"/>
        <v>VERIFICAR</v>
      </c>
    </row>
    <row r="748" spans="1:10" ht="15" customHeight="1" x14ac:dyDescent="0.2">
      <c r="A748" s="4" t="s">
        <v>3687</v>
      </c>
      <c r="B748" s="4" t="s">
        <v>3688</v>
      </c>
      <c r="C748" s="4" t="s">
        <v>3689</v>
      </c>
      <c r="D748" s="4" t="s">
        <v>3689</v>
      </c>
      <c r="E748" s="4" t="s">
        <v>47</v>
      </c>
      <c r="F748" s="4" t="s">
        <v>3690</v>
      </c>
      <c r="G748" s="4" t="s">
        <v>47</v>
      </c>
      <c r="H748" s="4" t="s">
        <v>3690</v>
      </c>
      <c r="I748">
        <f t="shared" si="22"/>
        <v>425</v>
      </c>
      <c r="J748" t="str">
        <f t="shared" si="23"/>
        <v>VERIFICAR</v>
      </c>
    </row>
    <row r="749" spans="1:10" ht="15" customHeight="1" x14ac:dyDescent="0.2">
      <c r="A749" s="3" t="s">
        <v>3691</v>
      </c>
      <c r="B749" s="3" t="s">
        <v>3692</v>
      </c>
      <c r="C749" s="3" t="s">
        <v>3693</v>
      </c>
      <c r="D749" s="3" t="s">
        <v>3694</v>
      </c>
      <c r="E749" s="3" t="s">
        <v>47</v>
      </c>
      <c r="F749" s="3" t="s">
        <v>47</v>
      </c>
      <c r="G749" s="3" t="s">
        <v>47</v>
      </c>
      <c r="H749" s="3" t="s">
        <v>3695</v>
      </c>
      <c r="I749">
        <f t="shared" si="22"/>
        <v>65.8</v>
      </c>
      <c r="J749" t="str">
        <f t="shared" si="23"/>
        <v>VERIFICAR</v>
      </c>
    </row>
    <row r="750" spans="1:10" ht="15" customHeight="1" x14ac:dyDescent="0.2">
      <c r="A750" s="4" t="s">
        <v>3696</v>
      </c>
      <c r="B750" s="4" t="s">
        <v>3697</v>
      </c>
      <c r="C750" s="4" t="s">
        <v>47</v>
      </c>
      <c r="D750" s="4" t="s">
        <v>3698</v>
      </c>
      <c r="E750" s="4" t="s">
        <v>47</v>
      </c>
      <c r="F750" s="4" t="s">
        <v>47</v>
      </c>
      <c r="G750" s="4" t="s">
        <v>47</v>
      </c>
      <c r="H750" s="4" t="s">
        <v>3698</v>
      </c>
      <c r="I750">
        <f t="shared" si="22"/>
        <v>180.26</v>
      </c>
      <c r="J750" t="str">
        <f t="shared" si="23"/>
        <v>VERIFICAR</v>
      </c>
    </row>
    <row r="751" spans="1:10" ht="15" customHeight="1" x14ac:dyDescent="0.2">
      <c r="A751" s="3" t="s">
        <v>3699</v>
      </c>
      <c r="B751" s="3" t="s">
        <v>3700</v>
      </c>
      <c r="C751" s="3" t="s">
        <v>3701</v>
      </c>
      <c r="D751" s="3" t="s">
        <v>3701</v>
      </c>
      <c r="E751" s="3" t="s">
        <v>411</v>
      </c>
      <c r="F751" s="3" t="s">
        <v>411</v>
      </c>
      <c r="G751" s="3" t="s">
        <v>47</v>
      </c>
      <c r="H751" s="3" t="s">
        <v>47</v>
      </c>
      <c r="I751">
        <f t="shared" si="22"/>
        <v>0</v>
      </c>
      <c r="J751" t="str">
        <f t="shared" si="23"/>
        <v>VERIFICAR</v>
      </c>
    </row>
    <row r="752" spans="1:10" ht="15" customHeight="1" x14ac:dyDescent="0.2">
      <c r="A752" s="4" t="s">
        <v>3702</v>
      </c>
      <c r="B752" s="4" t="s">
        <v>1586</v>
      </c>
      <c r="C752" s="4" t="s">
        <v>3703</v>
      </c>
      <c r="D752" s="4" t="s">
        <v>3704</v>
      </c>
      <c r="E752" s="4" t="s">
        <v>47</v>
      </c>
      <c r="F752" s="4" t="s">
        <v>47</v>
      </c>
      <c r="G752" s="4" t="s">
        <v>47</v>
      </c>
      <c r="H752" s="4" t="s">
        <v>3705</v>
      </c>
      <c r="I752">
        <f t="shared" si="22"/>
        <v>0.05</v>
      </c>
      <c r="J752" t="str">
        <f t="shared" si="23"/>
        <v>VERIFICAR</v>
      </c>
    </row>
    <row r="753" spans="1:10" ht="15" customHeight="1" x14ac:dyDescent="0.2">
      <c r="A753" s="3" t="s">
        <v>3706</v>
      </c>
      <c r="B753" s="3" t="s">
        <v>3707</v>
      </c>
      <c r="C753" s="3" t="s">
        <v>3708</v>
      </c>
      <c r="D753" s="3" t="s">
        <v>3708</v>
      </c>
      <c r="E753" s="3" t="s">
        <v>47</v>
      </c>
      <c r="F753" s="3" t="s">
        <v>3709</v>
      </c>
      <c r="G753" s="3" t="s">
        <v>47</v>
      </c>
      <c r="H753" s="3" t="s">
        <v>3709</v>
      </c>
      <c r="I753">
        <f t="shared" si="22"/>
        <v>2040</v>
      </c>
      <c r="J753" t="str">
        <f t="shared" si="23"/>
        <v>VERIFICAR</v>
      </c>
    </row>
    <row r="754" spans="1:10" ht="15" customHeight="1" x14ac:dyDescent="0.2">
      <c r="A754" s="4" t="s">
        <v>3710</v>
      </c>
      <c r="B754" s="4" t="s">
        <v>3711</v>
      </c>
      <c r="C754" s="4" t="s">
        <v>3712</v>
      </c>
      <c r="D754" s="4" t="s">
        <v>3713</v>
      </c>
      <c r="E754" s="4" t="s">
        <v>3714</v>
      </c>
      <c r="F754" s="4" t="s">
        <v>3715</v>
      </c>
      <c r="G754" s="4" t="s">
        <v>47</v>
      </c>
      <c r="H754" s="4" t="s">
        <v>3716</v>
      </c>
      <c r="I754">
        <f t="shared" si="22"/>
        <v>6357.33</v>
      </c>
      <c r="J754" t="str">
        <f t="shared" si="23"/>
        <v>VERIFICAR</v>
      </c>
    </row>
    <row r="755" spans="1:10" ht="15" customHeight="1" x14ac:dyDescent="0.2">
      <c r="A755" s="3" t="s">
        <v>3717</v>
      </c>
      <c r="B755" s="3" t="s">
        <v>3718</v>
      </c>
      <c r="C755" s="3" t="s">
        <v>3690</v>
      </c>
      <c r="D755" s="3" t="s">
        <v>3719</v>
      </c>
      <c r="E755" s="3" t="s">
        <v>47</v>
      </c>
      <c r="F755" s="3" t="s">
        <v>47</v>
      </c>
      <c r="G755" s="3" t="s">
        <v>47</v>
      </c>
      <c r="H755" s="3" t="s">
        <v>3720</v>
      </c>
      <c r="I755">
        <f t="shared" si="22"/>
        <v>305.2</v>
      </c>
      <c r="J755" t="str">
        <f t="shared" si="23"/>
        <v>VERIFICAR</v>
      </c>
    </row>
    <row r="756" spans="1:10" ht="15" customHeight="1" x14ac:dyDescent="0.2">
      <c r="A756" s="4" t="s">
        <v>3721</v>
      </c>
      <c r="B756" s="4" t="s">
        <v>3722</v>
      </c>
      <c r="C756" s="4" t="s">
        <v>3723</v>
      </c>
      <c r="D756" s="4" t="s">
        <v>3724</v>
      </c>
      <c r="E756" s="4" t="s">
        <v>47</v>
      </c>
      <c r="F756" s="4" t="s">
        <v>47</v>
      </c>
      <c r="G756" s="4" t="s">
        <v>3725</v>
      </c>
      <c r="H756" s="4" t="s">
        <v>47</v>
      </c>
      <c r="I756">
        <f t="shared" si="22"/>
        <v>-0.51</v>
      </c>
      <c r="J756" t="str">
        <f t="shared" si="23"/>
        <v>VERIFICAR</v>
      </c>
    </row>
    <row r="757" spans="1:10" ht="15" customHeight="1" x14ac:dyDescent="0.2">
      <c r="A757" s="3" t="s">
        <v>3726</v>
      </c>
      <c r="B757" s="3" t="s">
        <v>611</v>
      </c>
      <c r="C757" s="3" t="s">
        <v>3727</v>
      </c>
      <c r="D757" s="3" t="s">
        <v>3728</v>
      </c>
      <c r="E757" s="3" t="s">
        <v>3729</v>
      </c>
      <c r="F757" s="3" t="s">
        <v>3730</v>
      </c>
      <c r="G757" s="3" t="s">
        <v>47</v>
      </c>
      <c r="H757" s="3" t="s">
        <v>47</v>
      </c>
      <c r="I757">
        <f t="shared" si="22"/>
        <v>0</v>
      </c>
      <c r="J757" t="str">
        <f t="shared" si="23"/>
        <v>VERIFICAR</v>
      </c>
    </row>
    <row r="758" spans="1:10" ht="15" customHeight="1" x14ac:dyDescent="0.2">
      <c r="A758" s="4" t="s">
        <v>3731</v>
      </c>
      <c r="B758" s="4" t="s">
        <v>835</v>
      </c>
      <c r="C758" s="4" t="s">
        <v>411</v>
      </c>
      <c r="D758" s="4" t="s">
        <v>337</v>
      </c>
      <c r="E758" s="4" t="s">
        <v>47</v>
      </c>
      <c r="F758" s="4" t="s">
        <v>47</v>
      </c>
      <c r="G758" s="4" t="s">
        <v>47</v>
      </c>
      <c r="H758" s="4" t="s">
        <v>915</v>
      </c>
      <c r="I758">
        <f t="shared" si="22"/>
        <v>200</v>
      </c>
      <c r="J758" t="str">
        <f t="shared" si="23"/>
        <v>VERIFICAR</v>
      </c>
    </row>
    <row r="759" spans="1:10" ht="15" customHeight="1" x14ac:dyDescent="0.2">
      <c r="A759" s="3" t="s">
        <v>3732</v>
      </c>
      <c r="B759" s="3" t="s">
        <v>1339</v>
      </c>
      <c r="C759" s="3" t="s">
        <v>47</v>
      </c>
      <c r="D759" s="3" t="s">
        <v>411</v>
      </c>
      <c r="E759" s="3" t="s">
        <v>47</v>
      </c>
      <c r="F759" s="3" t="s">
        <v>47</v>
      </c>
      <c r="G759" s="3" t="s">
        <v>47</v>
      </c>
      <c r="H759" s="3" t="s">
        <v>411</v>
      </c>
      <c r="I759">
        <f t="shared" si="22"/>
        <v>100</v>
      </c>
      <c r="J759" t="str">
        <f t="shared" si="23"/>
        <v>VERIFICAR</v>
      </c>
    </row>
    <row r="760" spans="1:10" ht="15" customHeight="1" x14ac:dyDescent="0.2">
      <c r="A760" s="4" t="s">
        <v>3733</v>
      </c>
      <c r="B760" s="4" t="s">
        <v>3734</v>
      </c>
      <c r="C760" s="4" t="s">
        <v>47</v>
      </c>
      <c r="D760" s="4" t="s">
        <v>411</v>
      </c>
      <c r="E760" s="4" t="s">
        <v>47</v>
      </c>
      <c r="F760" s="4" t="s">
        <v>47</v>
      </c>
      <c r="G760" s="4" t="s">
        <v>47</v>
      </c>
      <c r="H760" s="4" t="s">
        <v>411</v>
      </c>
      <c r="I760">
        <f t="shared" si="22"/>
        <v>100</v>
      </c>
      <c r="J760" t="str">
        <f t="shared" si="23"/>
        <v>VERIFICAR</v>
      </c>
    </row>
    <row r="761" spans="1:10" ht="15" customHeight="1" x14ac:dyDescent="0.2">
      <c r="A761" s="3" t="s">
        <v>3735</v>
      </c>
      <c r="B761" s="3" t="s">
        <v>3736</v>
      </c>
      <c r="C761" s="3" t="s">
        <v>3737</v>
      </c>
      <c r="D761" s="3" t="s">
        <v>3738</v>
      </c>
      <c r="E761" s="3" t="s">
        <v>47</v>
      </c>
      <c r="F761" s="3" t="s">
        <v>47</v>
      </c>
      <c r="G761" s="3" t="s">
        <v>47</v>
      </c>
      <c r="H761" s="3" t="s">
        <v>3739</v>
      </c>
      <c r="I761">
        <f t="shared" si="22"/>
        <v>229.9</v>
      </c>
      <c r="J761" t="str">
        <f t="shared" si="23"/>
        <v>VERIFICAR</v>
      </c>
    </row>
    <row r="762" spans="1:10" ht="15" customHeight="1" x14ac:dyDescent="0.2">
      <c r="A762" s="4" t="s">
        <v>3740</v>
      </c>
      <c r="B762" s="4" t="s">
        <v>3741</v>
      </c>
      <c r="C762" s="4" t="s">
        <v>3742</v>
      </c>
      <c r="D762" s="4" t="s">
        <v>3742</v>
      </c>
      <c r="E762" s="4" t="s">
        <v>3743</v>
      </c>
      <c r="F762" s="4" t="s">
        <v>3743</v>
      </c>
      <c r="G762" s="4" t="s">
        <v>47</v>
      </c>
      <c r="H762" s="4" t="s">
        <v>47</v>
      </c>
      <c r="I762">
        <f t="shared" si="22"/>
        <v>0</v>
      </c>
      <c r="J762" t="str">
        <f t="shared" si="23"/>
        <v>VERIFICAR</v>
      </c>
    </row>
    <row r="763" spans="1:10" ht="15" customHeight="1" x14ac:dyDescent="0.2">
      <c r="A763" s="3" t="s">
        <v>3744</v>
      </c>
      <c r="B763" s="3" t="s">
        <v>3745</v>
      </c>
      <c r="C763" s="3" t="s">
        <v>3746</v>
      </c>
      <c r="D763" s="3" t="s">
        <v>3747</v>
      </c>
      <c r="E763" s="3" t="s">
        <v>3748</v>
      </c>
      <c r="F763" s="3" t="s">
        <v>3749</v>
      </c>
      <c r="G763" s="3" t="s">
        <v>47</v>
      </c>
      <c r="H763" s="3" t="s">
        <v>3750</v>
      </c>
      <c r="I763">
        <f t="shared" si="22"/>
        <v>963.48</v>
      </c>
      <c r="J763" t="str">
        <f t="shared" si="23"/>
        <v>VERIFICAR</v>
      </c>
    </row>
    <row r="764" spans="1:10" ht="15" customHeight="1" x14ac:dyDescent="0.2">
      <c r="A764" s="4" t="s">
        <v>3751</v>
      </c>
      <c r="B764" s="4" t="s">
        <v>3752</v>
      </c>
      <c r="C764" s="4" t="s">
        <v>3753</v>
      </c>
      <c r="D764" s="4" t="s">
        <v>3754</v>
      </c>
      <c r="E764" s="4" t="s">
        <v>47</v>
      </c>
      <c r="F764" s="4" t="s">
        <v>47</v>
      </c>
      <c r="G764" s="4" t="s">
        <v>47</v>
      </c>
      <c r="H764" s="4" t="s">
        <v>3755</v>
      </c>
      <c r="I764">
        <f t="shared" si="22"/>
        <v>3.5</v>
      </c>
      <c r="J764" t="str">
        <f t="shared" si="23"/>
        <v>VERIFICAR</v>
      </c>
    </row>
    <row r="765" spans="1:10" ht="15" customHeight="1" x14ac:dyDescent="0.2">
      <c r="A765" s="3" t="s">
        <v>3756</v>
      </c>
      <c r="B765" s="3" t="s">
        <v>3757</v>
      </c>
      <c r="C765" s="3" t="s">
        <v>3758</v>
      </c>
      <c r="D765" s="3" t="s">
        <v>1689</v>
      </c>
      <c r="E765" s="3" t="s">
        <v>47</v>
      </c>
      <c r="F765" s="3" t="s">
        <v>47</v>
      </c>
      <c r="G765" s="3" t="s">
        <v>47</v>
      </c>
      <c r="H765" s="3" t="s">
        <v>3759</v>
      </c>
      <c r="I765">
        <f t="shared" si="22"/>
        <v>370.72</v>
      </c>
      <c r="J765" t="str">
        <f t="shared" si="23"/>
        <v>VERIFICAR</v>
      </c>
    </row>
    <row r="766" spans="1:10" ht="15" customHeight="1" x14ac:dyDescent="0.2">
      <c r="A766" s="4" t="s">
        <v>3760</v>
      </c>
      <c r="B766" s="4" t="s">
        <v>3761</v>
      </c>
      <c r="C766" s="4" t="s">
        <v>2699</v>
      </c>
      <c r="D766" s="4" t="s">
        <v>3762</v>
      </c>
      <c r="E766" s="4" t="s">
        <v>47</v>
      </c>
      <c r="F766" s="4" t="s">
        <v>47</v>
      </c>
      <c r="G766" s="4" t="s">
        <v>47</v>
      </c>
      <c r="H766" s="4" t="s">
        <v>3763</v>
      </c>
      <c r="I766">
        <f t="shared" si="22"/>
        <v>187</v>
      </c>
      <c r="J766" t="str">
        <f t="shared" si="23"/>
        <v>VERIFICAR</v>
      </c>
    </row>
    <row r="767" spans="1:10" ht="15" customHeight="1" x14ac:dyDescent="0.2">
      <c r="A767" s="3" t="s">
        <v>3764</v>
      </c>
      <c r="B767" s="3" t="s">
        <v>3765</v>
      </c>
      <c r="C767" s="3" t="s">
        <v>47</v>
      </c>
      <c r="D767" s="3" t="s">
        <v>3766</v>
      </c>
      <c r="E767" s="3" t="s">
        <v>47</v>
      </c>
      <c r="F767" s="3" t="s">
        <v>47</v>
      </c>
      <c r="G767" s="3" t="s">
        <v>47</v>
      </c>
      <c r="H767" s="3" t="s">
        <v>3766</v>
      </c>
      <c r="I767">
        <f t="shared" si="22"/>
        <v>786.68</v>
      </c>
      <c r="J767" t="str">
        <f t="shared" si="23"/>
        <v>VERIFICAR</v>
      </c>
    </row>
    <row r="768" spans="1:10" ht="15" customHeight="1" x14ac:dyDescent="0.2">
      <c r="A768" s="4" t="s">
        <v>3767</v>
      </c>
      <c r="B768" s="4" t="s">
        <v>3768</v>
      </c>
      <c r="C768" s="4" t="s">
        <v>3769</v>
      </c>
      <c r="D768" s="4" t="s">
        <v>3770</v>
      </c>
      <c r="E768" s="4" t="s">
        <v>47</v>
      </c>
      <c r="F768" s="4" t="s">
        <v>47</v>
      </c>
      <c r="G768" s="4" t="s">
        <v>47</v>
      </c>
      <c r="H768" s="4" t="s">
        <v>3771</v>
      </c>
      <c r="I768">
        <f t="shared" si="22"/>
        <v>10.4</v>
      </c>
      <c r="J768" t="str">
        <f t="shared" si="23"/>
        <v>VERIFICAR</v>
      </c>
    </row>
    <row r="769" spans="1:10" ht="15" customHeight="1" x14ac:dyDescent="0.2">
      <c r="A769" s="3" t="s">
        <v>3772</v>
      </c>
      <c r="B769" s="3" t="s">
        <v>3773</v>
      </c>
      <c r="C769" s="3" t="s">
        <v>47</v>
      </c>
      <c r="D769" s="3" t="s">
        <v>3774</v>
      </c>
      <c r="E769" s="3" t="s">
        <v>47</v>
      </c>
      <c r="F769" s="3" t="s">
        <v>47</v>
      </c>
      <c r="G769" s="3" t="s">
        <v>47</v>
      </c>
      <c r="H769" s="3" t="s">
        <v>3774</v>
      </c>
      <c r="I769">
        <f t="shared" si="22"/>
        <v>199</v>
      </c>
      <c r="J769" t="str">
        <f t="shared" si="23"/>
        <v>VERIFICAR</v>
      </c>
    </row>
    <row r="770" spans="1:10" ht="15" customHeight="1" x14ac:dyDescent="0.2">
      <c r="A770" s="4" t="s">
        <v>3775</v>
      </c>
      <c r="B770" s="4" t="s">
        <v>3776</v>
      </c>
      <c r="C770" s="4" t="s">
        <v>3777</v>
      </c>
      <c r="D770" s="4" t="s">
        <v>3778</v>
      </c>
      <c r="E770" s="4" t="s">
        <v>3779</v>
      </c>
      <c r="F770" s="4" t="s">
        <v>3780</v>
      </c>
      <c r="G770" s="4" t="s">
        <v>3781</v>
      </c>
      <c r="H770" s="4" t="s">
        <v>47</v>
      </c>
      <c r="I770">
        <f t="shared" si="22"/>
        <v>-5848.65</v>
      </c>
      <c r="J770" t="str">
        <f t="shared" si="23"/>
        <v>VERIFICAR</v>
      </c>
    </row>
    <row r="771" spans="1:10" ht="15" customHeight="1" x14ac:dyDescent="0.2">
      <c r="A771" s="3" t="s">
        <v>3782</v>
      </c>
      <c r="B771" s="3" t="s">
        <v>3783</v>
      </c>
      <c r="C771" s="3" t="s">
        <v>3784</v>
      </c>
      <c r="D771" s="3" t="s">
        <v>3785</v>
      </c>
      <c r="E771" s="3" t="s">
        <v>47</v>
      </c>
      <c r="F771" s="3" t="s">
        <v>47</v>
      </c>
      <c r="G771" s="3" t="s">
        <v>47</v>
      </c>
      <c r="H771" s="3" t="s">
        <v>3786</v>
      </c>
      <c r="I771">
        <f t="shared" si="22"/>
        <v>215</v>
      </c>
      <c r="J771" t="str">
        <f t="shared" si="23"/>
        <v>VERIFICAR</v>
      </c>
    </row>
    <row r="772" spans="1:10" ht="15" customHeight="1" x14ac:dyDescent="0.2">
      <c r="A772" s="4" t="s">
        <v>3787</v>
      </c>
      <c r="B772" s="4" t="s">
        <v>3788</v>
      </c>
      <c r="C772" s="4" t="s">
        <v>3789</v>
      </c>
      <c r="D772" s="4" t="s">
        <v>3790</v>
      </c>
      <c r="E772" s="4" t="s">
        <v>47</v>
      </c>
      <c r="F772" s="4" t="s">
        <v>47</v>
      </c>
      <c r="G772" s="4" t="s">
        <v>47</v>
      </c>
      <c r="H772" s="4" t="s">
        <v>3791</v>
      </c>
      <c r="I772">
        <f t="shared" ref="I772:I835" si="24">IF(MID(A772,1,1)="1",G772-H772,IF(MID(A772,1,1)="2",H772-G772,"VERIFICAR"))</f>
        <v>740</v>
      </c>
      <c r="J772" t="str">
        <f t="shared" ref="J772:J835" si="25">IF(MID(A772,1,1)="1",H772-I772,IF(MID(B772,1,1)="2",I772-H772,IF(MID(A772,1,1)="3",F772-E772,IF(MID(A772,1,1)="4",E772-F772,"VERIFICAR"))))</f>
        <v>VERIFICAR</v>
      </c>
    </row>
    <row r="773" spans="1:10" ht="15" customHeight="1" x14ac:dyDescent="0.2">
      <c r="A773" s="3" t="s">
        <v>3792</v>
      </c>
      <c r="B773" s="3" t="s">
        <v>3793</v>
      </c>
      <c r="C773" s="3" t="s">
        <v>47</v>
      </c>
      <c r="D773" s="3" t="s">
        <v>3794</v>
      </c>
      <c r="E773" s="3" t="s">
        <v>47</v>
      </c>
      <c r="F773" s="3" t="s">
        <v>47</v>
      </c>
      <c r="G773" s="3" t="s">
        <v>47</v>
      </c>
      <c r="H773" s="3" t="s">
        <v>3794</v>
      </c>
      <c r="I773">
        <f t="shared" si="24"/>
        <v>4047</v>
      </c>
      <c r="J773" t="str">
        <f t="shared" si="25"/>
        <v>VERIFICAR</v>
      </c>
    </row>
    <row r="774" spans="1:10" ht="15" customHeight="1" x14ac:dyDescent="0.2">
      <c r="A774" s="4" t="s">
        <v>3795</v>
      </c>
      <c r="B774" s="4" t="s">
        <v>3796</v>
      </c>
      <c r="C774" s="4" t="s">
        <v>3797</v>
      </c>
      <c r="D774" s="4" t="s">
        <v>3798</v>
      </c>
      <c r="E774" s="4" t="s">
        <v>3799</v>
      </c>
      <c r="F774" s="4" t="s">
        <v>47</v>
      </c>
      <c r="G774" s="4" t="s">
        <v>47</v>
      </c>
      <c r="H774" s="4" t="s">
        <v>47</v>
      </c>
      <c r="I774">
        <f t="shared" si="24"/>
        <v>0</v>
      </c>
      <c r="J774" t="str">
        <f t="shared" si="25"/>
        <v>VERIFICAR</v>
      </c>
    </row>
    <row r="775" spans="1:10" ht="15" customHeight="1" x14ac:dyDescent="0.2">
      <c r="A775" s="3" t="s">
        <v>3800</v>
      </c>
      <c r="B775" s="3" t="s">
        <v>3470</v>
      </c>
      <c r="C775" s="3" t="s">
        <v>3801</v>
      </c>
      <c r="D775" s="3" t="s">
        <v>3801</v>
      </c>
      <c r="E775" s="3" t="s">
        <v>3802</v>
      </c>
      <c r="F775" s="3" t="s">
        <v>3802</v>
      </c>
      <c r="G775" s="3" t="s">
        <v>47</v>
      </c>
      <c r="H775" s="3" t="s">
        <v>47</v>
      </c>
      <c r="I775">
        <f t="shared" si="24"/>
        <v>0</v>
      </c>
      <c r="J775" t="str">
        <f t="shared" si="25"/>
        <v>VERIFICAR</v>
      </c>
    </row>
    <row r="776" spans="1:10" ht="15" customHeight="1" x14ac:dyDescent="0.2">
      <c r="A776" s="4" t="s">
        <v>3803</v>
      </c>
      <c r="B776" s="4" t="s">
        <v>3804</v>
      </c>
      <c r="C776" s="4" t="s">
        <v>3805</v>
      </c>
      <c r="D776" s="4" t="s">
        <v>3806</v>
      </c>
      <c r="E776" s="4" t="s">
        <v>3807</v>
      </c>
      <c r="F776" s="4" t="s">
        <v>3808</v>
      </c>
      <c r="G776" s="4" t="s">
        <v>47</v>
      </c>
      <c r="H776" s="4" t="s">
        <v>3809</v>
      </c>
      <c r="I776">
        <f t="shared" si="24"/>
        <v>1042.71</v>
      </c>
      <c r="J776" t="str">
        <f t="shared" si="25"/>
        <v>VERIFICAR</v>
      </c>
    </row>
    <row r="777" spans="1:10" ht="15" customHeight="1" x14ac:dyDescent="0.2">
      <c r="A777" s="3" t="s">
        <v>3810</v>
      </c>
      <c r="B777" s="3" t="s">
        <v>3811</v>
      </c>
      <c r="C777" s="3" t="s">
        <v>3812</v>
      </c>
      <c r="D777" s="3" t="s">
        <v>3813</v>
      </c>
      <c r="E777" s="3" t="s">
        <v>3814</v>
      </c>
      <c r="F777" s="3" t="s">
        <v>47</v>
      </c>
      <c r="G777" s="3" t="s">
        <v>47</v>
      </c>
      <c r="H777" s="3" t="s">
        <v>47</v>
      </c>
      <c r="I777">
        <f t="shared" si="24"/>
        <v>0</v>
      </c>
      <c r="J777" t="str">
        <f t="shared" si="25"/>
        <v>VERIFICAR</v>
      </c>
    </row>
    <row r="778" spans="1:10" ht="15" customHeight="1" x14ac:dyDescent="0.2">
      <c r="A778" s="4" t="s">
        <v>3815</v>
      </c>
      <c r="B778" s="4" t="s">
        <v>3816</v>
      </c>
      <c r="C778" s="4" t="s">
        <v>3817</v>
      </c>
      <c r="D778" s="4" t="s">
        <v>3818</v>
      </c>
      <c r="E778" s="4" t="s">
        <v>47</v>
      </c>
      <c r="F778" s="4" t="s">
        <v>47</v>
      </c>
      <c r="G778" s="4" t="s">
        <v>47</v>
      </c>
      <c r="H778" s="4" t="s">
        <v>3156</v>
      </c>
      <c r="I778">
        <f t="shared" si="24"/>
        <v>60</v>
      </c>
      <c r="J778" t="str">
        <f t="shared" si="25"/>
        <v>VERIFICAR</v>
      </c>
    </row>
    <row r="779" spans="1:10" ht="15" customHeight="1" x14ac:dyDescent="0.2">
      <c r="A779" s="3" t="s">
        <v>3819</v>
      </c>
      <c r="B779" s="3" t="s">
        <v>3820</v>
      </c>
      <c r="C779" s="3" t="s">
        <v>3821</v>
      </c>
      <c r="D779" s="3" t="s">
        <v>3822</v>
      </c>
      <c r="E779" s="3" t="s">
        <v>3823</v>
      </c>
      <c r="F779" s="3" t="s">
        <v>3823</v>
      </c>
      <c r="G779" s="3" t="s">
        <v>47</v>
      </c>
      <c r="H779" s="3" t="s">
        <v>3824</v>
      </c>
      <c r="I779">
        <f t="shared" si="24"/>
        <v>487.22</v>
      </c>
      <c r="J779" t="str">
        <f t="shared" si="25"/>
        <v>VERIFICAR</v>
      </c>
    </row>
    <row r="780" spans="1:10" ht="15" customHeight="1" x14ac:dyDescent="0.2">
      <c r="A780" s="4" t="s">
        <v>3825</v>
      </c>
      <c r="B780" s="4" t="s">
        <v>3826</v>
      </c>
      <c r="C780" s="4" t="s">
        <v>47</v>
      </c>
      <c r="D780" s="4" t="s">
        <v>3827</v>
      </c>
      <c r="E780" s="4" t="s">
        <v>47</v>
      </c>
      <c r="F780" s="4" t="s">
        <v>47</v>
      </c>
      <c r="G780" s="4" t="s">
        <v>47</v>
      </c>
      <c r="H780" s="4" t="s">
        <v>3827</v>
      </c>
      <c r="I780">
        <f t="shared" si="24"/>
        <v>158.22</v>
      </c>
      <c r="J780" t="str">
        <f t="shared" si="25"/>
        <v>VERIFICAR</v>
      </c>
    </row>
    <row r="781" spans="1:10" ht="15" customHeight="1" x14ac:dyDescent="0.2">
      <c r="A781" s="3" t="s">
        <v>3828</v>
      </c>
      <c r="B781" s="3" t="s">
        <v>3829</v>
      </c>
      <c r="C781" s="3" t="s">
        <v>3830</v>
      </c>
      <c r="D781" s="3" t="s">
        <v>2410</v>
      </c>
      <c r="E781" s="3" t="s">
        <v>47</v>
      </c>
      <c r="F781" s="3" t="s">
        <v>47</v>
      </c>
      <c r="G781" s="3" t="s">
        <v>47</v>
      </c>
      <c r="H781" s="3" t="s">
        <v>3831</v>
      </c>
      <c r="I781">
        <f t="shared" si="24"/>
        <v>550</v>
      </c>
      <c r="J781" t="str">
        <f t="shared" si="25"/>
        <v>VERIFICAR</v>
      </c>
    </row>
    <row r="782" spans="1:10" ht="15" customHeight="1" x14ac:dyDescent="0.2">
      <c r="A782" s="4" t="s">
        <v>3832</v>
      </c>
      <c r="B782" s="4" t="s">
        <v>3833</v>
      </c>
      <c r="C782" s="4" t="s">
        <v>3834</v>
      </c>
      <c r="D782" s="4" t="s">
        <v>3835</v>
      </c>
      <c r="E782" s="4" t="s">
        <v>47</v>
      </c>
      <c r="F782" s="4" t="s">
        <v>47</v>
      </c>
      <c r="G782" s="4" t="s">
        <v>47</v>
      </c>
      <c r="H782" s="4" t="s">
        <v>3836</v>
      </c>
      <c r="I782">
        <f t="shared" si="24"/>
        <v>1391.16</v>
      </c>
      <c r="J782" t="str">
        <f t="shared" si="25"/>
        <v>VERIFICAR</v>
      </c>
    </row>
    <row r="783" spans="1:10" ht="15" customHeight="1" x14ac:dyDescent="0.2">
      <c r="A783" s="3" t="s">
        <v>3837</v>
      </c>
      <c r="B783" s="3" t="s">
        <v>3838</v>
      </c>
      <c r="C783" s="3" t="s">
        <v>3839</v>
      </c>
      <c r="D783" s="3" t="s">
        <v>3839</v>
      </c>
      <c r="E783" s="3" t="s">
        <v>3840</v>
      </c>
      <c r="F783" s="3" t="s">
        <v>3840</v>
      </c>
      <c r="G783" s="3" t="s">
        <v>47</v>
      </c>
      <c r="H783" s="3" t="s">
        <v>47</v>
      </c>
      <c r="I783">
        <f t="shared" si="24"/>
        <v>0</v>
      </c>
      <c r="J783" t="str">
        <f t="shared" si="25"/>
        <v>VERIFICAR</v>
      </c>
    </row>
    <row r="784" spans="1:10" ht="15" customHeight="1" x14ac:dyDescent="0.2">
      <c r="A784" s="4" t="s">
        <v>3841</v>
      </c>
      <c r="B784" s="4" t="s">
        <v>3842</v>
      </c>
      <c r="C784" s="4" t="s">
        <v>3843</v>
      </c>
      <c r="D784" s="4" t="s">
        <v>3844</v>
      </c>
      <c r="E784" s="4" t="s">
        <v>3845</v>
      </c>
      <c r="F784" s="4" t="s">
        <v>3846</v>
      </c>
      <c r="G784" s="4" t="s">
        <v>47</v>
      </c>
      <c r="H784" s="4" t="s">
        <v>3847</v>
      </c>
      <c r="I784">
        <f t="shared" si="24"/>
        <v>3762.15</v>
      </c>
      <c r="J784" t="str">
        <f t="shared" si="25"/>
        <v>VERIFICAR</v>
      </c>
    </row>
    <row r="785" spans="1:10" ht="15" customHeight="1" x14ac:dyDescent="0.2">
      <c r="A785" s="3" t="s">
        <v>3848</v>
      </c>
      <c r="B785" s="3" t="s">
        <v>3470</v>
      </c>
      <c r="C785" s="3" t="s">
        <v>3849</v>
      </c>
      <c r="D785" s="3" t="s">
        <v>3849</v>
      </c>
      <c r="E785" s="3" t="s">
        <v>3850</v>
      </c>
      <c r="F785" s="3" t="s">
        <v>3850</v>
      </c>
      <c r="G785" s="3" t="s">
        <v>47</v>
      </c>
      <c r="H785" s="3" t="s">
        <v>47</v>
      </c>
      <c r="I785">
        <f t="shared" si="24"/>
        <v>0</v>
      </c>
      <c r="J785" t="str">
        <f t="shared" si="25"/>
        <v>VERIFICAR</v>
      </c>
    </row>
    <row r="786" spans="1:10" ht="15" customHeight="1" x14ac:dyDescent="0.2">
      <c r="A786" s="4" t="s">
        <v>3851</v>
      </c>
      <c r="B786" s="4" t="s">
        <v>3852</v>
      </c>
      <c r="C786" s="4" t="s">
        <v>3853</v>
      </c>
      <c r="D786" s="4" t="s">
        <v>3854</v>
      </c>
      <c r="E786" s="4" t="s">
        <v>47</v>
      </c>
      <c r="F786" s="4" t="s">
        <v>47</v>
      </c>
      <c r="G786" s="4" t="s">
        <v>47</v>
      </c>
      <c r="H786" s="4" t="s">
        <v>3855</v>
      </c>
      <c r="I786">
        <f t="shared" si="24"/>
        <v>18.79</v>
      </c>
      <c r="J786" t="str">
        <f t="shared" si="25"/>
        <v>VERIFICAR</v>
      </c>
    </row>
    <row r="787" spans="1:10" ht="15" customHeight="1" x14ac:dyDescent="0.2">
      <c r="A787" s="3" t="s">
        <v>3856</v>
      </c>
      <c r="B787" s="3" t="s">
        <v>3857</v>
      </c>
      <c r="C787" s="3" t="s">
        <v>3858</v>
      </c>
      <c r="D787" s="3" t="s">
        <v>3858</v>
      </c>
      <c r="E787" s="3" t="s">
        <v>3859</v>
      </c>
      <c r="F787" s="3" t="s">
        <v>3859</v>
      </c>
      <c r="G787" s="3" t="s">
        <v>47</v>
      </c>
      <c r="H787" s="3" t="s">
        <v>47</v>
      </c>
      <c r="I787">
        <f t="shared" si="24"/>
        <v>0</v>
      </c>
      <c r="J787" t="str">
        <f t="shared" si="25"/>
        <v>VERIFICAR</v>
      </c>
    </row>
    <row r="788" spans="1:10" ht="15" customHeight="1" x14ac:dyDescent="0.2">
      <c r="A788" s="4" t="s">
        <v>3860</v>
      </c>
      <c r="B788" s="4" t="s">
        <v>3861</v>
      </c>
      <c r="C788" s="4" t="s">
        <v>47</v>
      </c>
      <c r="D788" s="4" t="s">
        <v>3862</v>
      </c>
      <c r="E788" s="4" t="s">
        <v>47</v>
      </c>
      <c r="F788" s="4" t="s">
        <v>47</v>
      </c>
      <c r="G788" s="4" t="s">
        <v>47</v>
      </c>
      <c r="H788" s="4" t="s">
        <v>3862</v>
      </c>
      <c r="I788">
        <f t="shared" si="24"/>
        <v>98.34</v>
      </c>
      <c r="J788" t="str">
        <f t="shared" si="25"/>
        <v>VERIFICAR</v>
      </c>
    </row>
    <row r="789" spans="1:10" ht="15" customHeight="1" x14ac:dyDescent="0.2">
      <c r="A789" s="3" t="s">
        <v>3863</v>
      </c>
      <c r="B789" s="3" t="s">
        <v>3864</v>
      </c>
      <c r="C789" s="3" t="s">
        <v>3865</v>
      </c>
      <c r="D789" s="3" t="s">
        <v>478</v>
      </c>
      <c r="E789" s="3" t="s">
        <v>47</v>
      </c>
      <c r="F789" s="3" t="s">
        <v>47</v>
      </c>
      <c r="G789" s="3" t="s">
        <v>47</v>
      </c>
      <c r="H789" s="3" t="s">
        <v>3865</v>
      </c>
      <c r="I789">
        <f t="shared" si="24"/>
        <v>750</v>
      </c>
      <c r="J789" t="str">
        <f t="shared" si="25"/>
        <v>VERIFICAR</v>
      </c>
    </row>
    <row r="790" spans="1:10" ht="15" customHeight="1" x14ac:dyDescent="0.2">
      <c r="A790" s="4" t="s">
        <v>3866</v>
      </c>
      <c r="B790" s="4" t="s">
        <v>3867</v>
      </c>
      <c r="C790" s="4" t="s">
        <v>3868</v>
      </c>
      <c r="D790" s="4" t="s">
        <v>3868</v>
      </c>
      <c r="E790" s="4" t="s">
        <v>2842</v>
      </c>
      <c r="F790" s="4" t="s">
        <v>2842</v>
      </c>
      <c r="G790" s="4" t="s">
        <v>47</v>
      </c>
      <c r="H790" s="4" t="s">
        <v>47</v>
      </c>
      <c r="I790">
        <f t="shared" si="24"/>
        <v>0</v>
      </c>
      <c r="J790" t="str">
        <f t="shared" si="25"/>
        <v>VERIFICAR</v>
      </c>
    </row>
    <row r="791" spans="1:10" ht="15" customHeight="1" x14ac:dyDescent="0.2">
      <c r="A791" s="3" t="s">
        <v>3869</v>
      </c>
      <c r="B791" s="3" t="s">
        <v>3870</v>
      </c>
      <c r="C791" s="3" t="s">
        <v>3871</v>
      </c>
      <c r="D791" s="3" t="s">
        <v>3872</v>
      </c>
      <c r="E791" s="3" t="s">
        <v>47</v>
      </c>
      <c r="F791" s="3" t="s">
        <v>47</v>
      </c>
      <c r="G791" s="3" t="s">
        <v>47</v>
      </c>
      <c r="H791" s="3" t="s">
        <v>3873</v>
      </c>
      <c r="I791">
        <f t="shared" si="24"/>
        <v>240</v>
      </c>
      <c r="J791" t="str">
        <f t="shared" si="25"/>
        <v>VERIFICAR</v>
      </c>
    </row>
    <row r="792" spans="1:10" ht="15" customHeight="1" x14ac:dyDescent="0.2">
      <c r="A792" s="4" t="s">
        <v>3874</v>
      </c>
      <c r="B792" s="4" t="s">
        <v>2223</v>
      </c>
      <c r="C792" s="4" t="s">
        <v>3875</v>
      </c>
      <c r="D792" s="4" t="s">
        <v>3876</v>
      </c>
      <c r="E792" s="4" t="s">
        <v>3877</v>
      </c>
      <c r="F792" s="4" t="s">
        <v>2898</v>
      </c>
      <c r="G792" s="4" t="s">
        <v>47</v>
      </c>
      <c r="H792" s="4" t="s">
        <v>2224</v>
      </c>
      <c r="I792">
        <f t="shared" si="24"/>
        <v>3483.33</v>
      </c>
      <c r="J792" t="str">
        <f t="shared" si="25"/>
        <v>VERIFICAR</v>
      </c>
    </row>
    <row r="793" spans="1:10" ht="15" customHeight="1" x14ac:dyDescent="0.2">
      <c r="A793" s="3" t="s">
        <v>3878</v>
      </c>
      <c r="B793" s="3" t="s">
        <v>3879</v>
      </c>
      <c r="C793" s="3" t="s">
        <v>3880</v>
      </c>
      <c r="D793" s="3" t="s">
        <v>3880</v>
      </c>
      <c r="E793" s="3" t="s">
        <v>47</v>
      </c>
      <c r="F793" s="3" t="s">
        <v>3881</v>
      </c>
      <c r="G793" s="3" t="s">
        <v>47</v>
      </c>
      <c r="H793" s="3" t="s">
        <v>3881</v>
      </c>
      <c r="I793">
        <f t="shared" si="24"/>
        <v>134.80000000000001</v>
      </c>
      <c r="J793" t="str">
        <f t="shared" si="25"/>
        <v>VERIFICAR</v>
      </c>
    </row>
    <row r="794" spans="1:10" ht="15" customHeight="1" x14ac:dyDescent="0.2">
      <c r="A794" s="4" t="s">
        <v>3882</v>
      </c>
      <c r="B794" s="4" t="s">
        <v>3883</v>
      </c>
      <c r="C794" s="4" t="s">
        <v>3884</v>
      </c>
      <c r="D794" s="4" t="s">
        <v>3885</v>
      </c>
      <c r="E794" s="4" t="s">
        <v>47</v>
      </c>
      <c r="F794" s="4" t="s">
        <v>47</v>
      </c>
      <c r="G794" s="4" t="s">
        <v>47</v>
      </c>
      <c r="H794" s="4" t="s">
        <v>3886</v>
      </c>
      <c r="I794">
        <f t="shared" si="24"/>
        <v>1607.31</v>
      </c>
      <c r="J794" t="str">
        <f t="shared" si="25"/>
        <v>VERIFICAR</v>
      </c>
    </row>
    <row r="795" spans="1:10" ht="15" customHeight="1" x14ac:dyDescent="0.2">
      <c r="A795" s="3" t="s">
        <v>3887</v>
      </c>
      <c r="B795" s="3" t="s">
        <v>3888</v>
      </c>
      <c r="C795" s="3" t="s">
        <v>3889</v>
      </c>
      <c r="D795" s="3" t="s">
        <v>3890</v>
      </c>
      <c r="E795" s="3" t="s">
        <v>47</v>
      </c>
      <c r="F795" s="3" t="s">
        <v>47</v>
      </c>
      <c r="G795" s="3" t="s">
        <v>47</v>
      </c>
      <c r="H795" s="3" t="s">
        <v>3891</v>
      </c>
      <c r="I795">
        <f t="shared" si="24"/>
        <v>39</v>
      </c>
      <c r="J795" t="str">
        <f t="shared" si="25"/>
        <v>VERIFICAR</v>
      </c>
    </row>
    <row r="796" spans="1:10" ht="15" customHeight="1" x14ac:dyDescent="0.2">
      <c r="A796" s="4" t="s">
        <v>3892</v>
      </c>
      <c r="B796" s="4" t="s">
        <v>3893</v>
      </c>
      <c r="C796" s="4" t="s">
        <v>3894</v>
      </c>
      <c r="D796" s="4" t="s">
        <v>3895</v>
      </c>
      <c r="E796" s="4" t="s">
        <v>3896</v>
      </c>
      <c r="F796" s="4" t="s">
        <v>3897</v>
      </c>
      <c r="G796" s="4" t="s">
        <v>47</v>
      </c>
      <c r="H796" s="4" t="s">
        <v>3898</v>
      </c>
      <c r="I796">
        <f t="shared" si="24"/>
        <v>431.19</v>
      </c>
      <c r="J796" t="str">
        <f t="shared" si="25"/>
        <v>VERIFICAR</v>
      </c>
    </row>
    <row r="797" spans="1:10" ht="15" customHeight="1" x14ac:dyDescent="0.2">
      <c r="A797" s="3" t="s">
        <v>3899</v>
      </c>
      <c r="B797" s="3" t="s">
        <v>3900</v>
      </c>
      <c r="C797" s="3" t="s">
        <v>3901</v>
      </c>
      <c r="D797" s="3" t="s">
        <v>3901</v>
      </c>
      <c r="E797" s="3" t="s">
        <v>3902</v>
      </c>
      <c r="F797" s="3" t="s">
        <v>3902</v>
      </c>
      <c r="G797" s="3" t="s">
        <v>47</v>
      </c>
      <c r="H797" s="3" t="s">
        <v>47</v>
      </c>
      <c r="I797">
        <f t="shared" si="24"/>
        <v>0</v>
      </c>
      <c r="J797" t="str">
        <f t="shared" si="25"/>
        <v>VERIFICAR</v>
      </c>
    </row>
    <row r="798" spans="1:10" ht="15" customHeight="1" x14ac:dyDescent="0.2">
      <c r="A798" s="4" t="s">
        <v>3903</v>
      </c>
      <c r="B798" s="4" t="s">
        <v>3904</v>
      </c>
      <c r="C798" s="4" t="s">
        <v>3905</v>
      </c>
      <c r="D798" s="4" t="s">
        <v>3906</v>
      </c>
      <c r="E798" s="4" t="s">
        <v>47</v>
      </c>
      <c r="F798" s="4" t="s">
        <v>47</v>
      </c>
      <c r="G798" s="4" t="s">
        <v>47</v>
      </c>
      <c r="H798" s="4" t="s">
        <v>3907</v>
      </c>
      <c r="I798">
        <f t="shared" si="24"/>
        <v>23.89</v>
      </c>
      <c r="J798" t="str">
        <f t="shared" si="25"/>
        <v>VERIFICAR</v>
      </c>
    </row>
    <row r="799" spans="1:10" ht="15" customHeight="1" x14ac:dyDescent="0.2">
      <c r="A799" s="3" t="s">
        <v>3908</v>
      </c>
      <c r="B799" s="3" t="s">
        <v>3909</v>
      </c>
      <c r="C799" s="3" t="s">
        <v>3910</v>
      </c>
      <c r="D799" s="3" t="s">
        <v>3911</v>
      </c>
      <c r="E799" s="3" t="s">
        <v>47</v>
      </c>
      <c r="F799" s="3" t="s">
        <v>47</v>
      </c>
      <c r="G799" s="3" t="s">
        <v>47</v>
      </c>
      <c r="H799" s="3" t="s">
        <v>3912</v>
      </c>
      <c r="I799">
        <f t="shared" si="24"/>
        <v>293.13</v>
      </c>
      <c r="J799" t="str">
        <f t="shared" si="25"/>
        <v>VERIFICAR</v>
      </c>
    </row>
    <row r="800" spans="1:10" ht="15" customHeight="1" x14ac:dyDescent="0.2">
      <c r="A800" s="4" t="s">
        <v>3913</v>
      </c>
      <c r="B800" s="4" t="s">
        <v>3914</v>
      </c>
      <c r="C800" s="4" t="s">
        <v>3915</v>
      </c>
      <c r="D800" s="4" t="s">
        <v>3916</v>
      </c>
      <c r="E800" s="4" t="s">
        <v>47</v>
      </c>
      <c r="F800" s="4" t="s">
        <v>47</v>
      </c>
      <c r="G800" s="4" t="s">
        <v>47</v>
      </c>
      <c r="H800" s="4" t="s">
        <v>3917</v>
      </c>
      <c r="I800">
        <f t="shared" si="24"/>
        <v>579.37</v>
      </c>
      <c r="J800" t="str">
        <f t="shared" si="25"/>
        <v>VERIFICAR</v>
      </c>
    </row>
    <row r="801" spans="1:10" ht="15" customHeight="1" x14ac:dyDescent="0.2">
      <c r="A801" s="3" t="s">
        <v>3918</v>
      </c>
      <c r="B801" s="3" t="s">
        <v>3919</v>
      </c>
      <c r="C801" s="3" t="s">
        <v>47</v>
      </c>
      <c r="D801" s="3" t="s">
        <v>3920</v>
      </c>
      <c r="E801" s="3" t="s">
        <v>47</v>
      </c>
      <c r="F801" s="3" t="s">
        <v>47</v>
      </c>
      <c r="G801" s="3" t="s">
        <v>47</v>
      </c>
      <c r="H801" s="3" t="s">
        <v>3920</v>
      </c>
      <c r="I801">
        <f t="shared" si="24"/>
        <v>554.4</v>
      </c>
      <c r="J801" t="str">
        <f t="shared" si="25"/>
        <v>VERIFICAR</v>
      </c>
    </row>
    <row r="802" spans="1:10" ht="15" customHeight="1" x14ac:dyDescent="0.2">
      <c r="A802" s="4" t="s">
        <v>3921</v>
      </c>
      <c r="B802" s="4" t="s">
        <v>3922</v>
      </c>
      <c r="C802" s="4" t="s">
        <v>47</v>
      </c>
      <c r="D802" s="4" t="s">
        <v>3923</v>
      </c>
      <c r="E802" s="4" t="s">
        <v>47</v>
      </c>
      <c r="F802" s="4" t="s">
        <v>47</v>
      </c>
      <c r="G802" s="4" t="s">
        <v>47</v>
      </c>
      <c r="H802" s="4" t="s">
        <v>3923</v>
      </c>
      <c r="I802">
        <f t="shared" si="24"/>
        <v>990</v>
      </c>
      <c r="J802" t="str">
        <f t="shared" si="25"/>
        <v>VERIFICAR</v>
      </c>
    </row>
    <row r="803" spans="1:10" ht="15" customHeight="1" x14ac:dyDescent="0.2">
      <c r="A803" s="3" t="s">
        <v>3924</v>
      </c>
      <c r="B803" s="3" t="s">
        <v>3925</v>
      </c>
      <c r="C803" s="3" t="s">
        <v>3926</v>
      </c>
      <c r="D803" s="3" t="s">
        <v>3927</v>
      </c>
      <c r="E803" s="3" t="s">
        <v>3928</v>
      </c>
      <c r="F803" s="3" t="s">
        <v>3929</v>
      </c>
      <c r="G803" s="3" t="s">
        <v>47</v>
      </c>
      <c r="H803" s="3" t="s">
        <v>3929</v>
      </c>
      <c r="I803">
        <f t="shared" si="24"/>
        <v>120.96</v>
      </c>
      <c r="J803" t="str">
        <f t="shared" si="25"/>
        <v>VERIFICAR</v>
      </c>
    </row>
    <row r="804" spans="1:10" ht="15" customHeight="1" x14ac:dyDescent="0.2">
      <c r="A804" s="4" t="s">
        <v>3930</v>
      </c>
      <c r="B804" s="4" t="s">
        <v>3931</v>
      </c>
      <c r="C804" s="4" t="s">
        <v>47</v>
      </c>
      <c r="D804" s="4" t="s">
        <v>3932</v>
      </c>
      <c r="E804" s="4" t="s">
        <v>47</v>
      </c>
      <c r="F804" s="4" t="s">
        <v>47</v>
      </c>
      <c r="G804" s="4" t="s">
        <v>47</v>
      </c>
      <c r="H804" s="4" t="s">
        <v>3932</v>
      </c>
      <c r="I804">
        <f t="shared" si="24"/>
        <v>23</v>
      </c>
      <c r="J804" t="str">
        <f t="shared" si="25"/>
        <v>VERIFICAR</v>
      </c>
    </row>
    <row r="805" spans="1:10" ht="15" customHeight="1" x14ac:dyDescent="0.2">
      <c r="A805" s="3" t="s">
        <v>3933</v>
      </c>
      <c r="B805" s="3" t="s">
        <v>3934</v>
      </c>
      <c r="C805" s="3" t="s">
        <v>47</v>
      </c>
      <c r="D805" s="3" t="s">
        <v>3935</v>
      </c>
      <c r="E805" s="3" t="s">
        <v>47</v>
      </c>
      <c r="F805" s="3" t="s">
        <v>47</v>
      </c>
      <c r="G805" s="3" t="s">
        <v>47</v>
      </c>
      <c r="H805" s="3" t="s">
        <v>3935</v>
      </c>
      <c r="I805">
        <f t="shared" si="24"/>
        <v>256.25</v>
      </c>
      <c r="J805" t="str">
        <f t="shared" si="25"/>
        <v>VERIFICAR</v>
      </c>
    </row>
    <row r="806" spans="1:10" ht="15" customHeight="1" x14ac:dyDescent="0.2">
      <c r="A806" s="4" t="s">
        <v>3936</v>
      </c>
      <c r="B806" s="4" t="s">
        <v>3937</v>
      </c>
      <c r="C806" s="4" t="s">
        <v>3938</v>
      </c>
      <c r="D806" s="4" t="s">
        <v>3939</v>
      </c>
      <c r="E806" s="4" t="s">
        <v>3940</v>
      </c>
      <c r="F806" s="4" t="s">
        <v>3940</v>
      </c>
      <c r="G806" s="4" t="s">
        <v>47</v>
      </c>
      <c r="H806" s="4" t="s">
        <v>3941</v>
      </c>
      <c r="I806">
        <f t="shared" si="24"/>
        <v>162.75</v>
      </c>
      <c r="J806" t="str">
        <f t="shared" si="25"/>
        <v>VERIFICAR</v>
      </c>
    </row>
    <row r="807" spans="1:10" ht="15" customHeight="1" x14ac:dyDescent="0.2">
      <c r="A807" s="3" t="s">
        <v>3942</v>
      </c>
      <c r="B807" s="3" t="s">
        <v>3943</v>
      </c>
      <c r="C807" s="3" t="s">
        <v>47</v>
      </c>
      <c r="D807" s="3" t="s">
        <v>3944</v>
      </c>
      <c r="E807" s="3" t="s">
        <v>47</v>
      </c>
      <c r="F807" s="3" t="s">
        <v>47</v>
      </c>
      <c r="G807" s="3" t="s">
        <v>47</v>
      </c>
      <c r="H807" s="3" t="s">
        <v>3944</v>
      </c>
      <c r="I807">
        <f t="shared" si="24"/>
        <v>62.99</v>
      </c>
      <c r="J807" t="str">
        <f t="shared" si="25"/>
        <v>VERIFICAR</v>
      </c>
    </row>
    <row r="808" spans="1:10" ht="15" customHeight="1" x14ac:dyDescent="0.2">
      <c r="A808" s="4" t="s">
        <v>3945</v>
      </c>
      <c r="B808" s="4" t="s">
        <v>3946</v>
      </c>
      <c r="C808" s="4" t="s">
        <v>3947</v>
      </c>
      <c r="D808" s="4" t="s">
        <v>3948</v>
      </c>
      <c r="E808" s="4" t="s">
        <v>47</v>
      </c>
      <c r="F808" s="4" t="s">
        <v>47</v>
      </c>
      <c r="G808" s="4" t="s">
        <v>47</v>
      </c>
      <c r="H808" s="4" t="s">
        <v>3949</v>
      </c>
      <c r="I808">
        <f t="shared" si="24"/>
        <v>4799.68</v>
      </c>
      <c r="J808" t="str">
        <f t="shared" si="25"/>
        <v>VERIFICAR</v>
      </c>
    </row>
    <row r="809" spans="1:10" ht="15" customHeight="1" x14ac:dyDescent="0.2">
      <c r="A809" s="3" t="s">
        <v>3950</v>
      </c>
      <c r="B809" s="3" t="s">
        <v>3951</v>
      </c>
      <c r="C809" s="3" t="s">
        <v>47</v>
      </c>
      <c r="D809" s="3" t="s">
        <v>3952</v>
      </c>
      <c r="E809" s="3" t="s">
        <v>47</v>
      </c>
      <c r="F809" s="3" t="s">
        <v>47</v>
      </c>
      <c r="G809" s="3" t="s">
        <v>47</v>
      </c>
      <c r="H809" s="3" t="s">
        <v>3952</v>
      </c>
      <c r="I809">
        <f t="shared" si="24"/>
        <v>522.9</v>
      </c>
      <c r="J809" t="str">
        <f t="shared" si="25"/>
        <v>VERIFICAR</v>
      </c>
    </row>
    <row r="810" spans="1:10" ht="15" customHeight="1" x14ac:dyDescent="0.2">
      <c r="A810" s="4" t="s">
        <v>3953</v>
      </c>
      <c r="B810" s="4" t="s">
        <v>3954</v>
      </c>
      <c r="C810" s="4" t="s">
        <v>3955</v>
      </c>
      <c r="D810" s="4" t="s">
        <v>3956</v>
      </c>
      <c r="E810" s="4" t="s">
        <v>47</v>
      </c>
      <c r="F810" s="4" t="s">
        <v>47</v>
      </c>
      <c r="G810" s="4" t="s">
        <v>47</v>
      </c>
      <c r="H810" s="4" t="s">
        <v>3957</v>
      </c>
      <c r="I810">
        <f t="shared" si="24"/>
        <v>11.31</v>
      </c>
      <c r="J810" t="str">
        <f t="shared" si="25"/>
        <v>VERIFICAR</v>
      </c>
    </row>
    <row r="811" spans="1:10" ht="15" customHeight="1" x14ac:dyDescent="0.2">
      <c r="A811" s="3" t="s">
        <v>3958</v>
      </c>
      <c r="B811" s="3" t="s">
        <v>3959</v>
      </c>
      <c r="C811" s="3" t="s">
        <v>3960</v>
      </c>
      <c r="D811" s="3" t="s">
        <v>3961</v>
      </c>
      <c r="E811" s="3" t="s">
        <v>3962</v>
      </c>
      <c r="F811" s="3" t="s">
        <v>3963</v>
      </c>
      <c r="G811" s="3" t="s">
        <v>47</v>
      </c>
      <c r="H811" s="3" t="s">
        <v>3964</v>
      </c>
      <c r="I811">
        <f t="shared" si="24"/>
        <v>1909.19</v>
      </c>
      <c r="J811" t="str">
        <f t="shared" si="25"/>
        <v>VERIFICAR</v>
      </c>
    </row>
    <row r="812" spans="1:10" ht="15" customHeight="1" x14ac:dyDescent="0.2">
      <c r="A812" s="4" t="s">
        <v>3965</v>
      </c>
      <c r="B812" s="4" t="s">
        <v>3966</v>
      </c>
      <c r="C812" s="4" t="s">
        <v>47</v>
      </c>
      <c r="D812" s="4" t="s">
        <v>3967</v>
      </c>
      <c r="E812" s="4" t="s">
        <v>47</v>
      </c>
      <c r="F812" s="4" t="s">
        <v>47</v>
      </c>
      <c r="G812" s="4" t="s">
        <v>47</v>
      </c>
      <c r="H812" s="4" t="s">
        <v>3967</v>
      </c>
      <c r="I812">
        <f t="shared" si="24"/>
        <v>49.9</v>
      </c>
      <c r="J812" t="str">
        <f t="shared" si="25"/>
        <v>VERIFICAR</v>
      </c>
    </row>
    <row r="813" spans="1:10" ht="15" customHeight="1" x14ac:dyDescent="0.2">
      <c r="A813" s="3" t="s">
        <v>3968</v>
      </c>
      <c r="B813" s="3" t="s">
        <v>3969</v>
      </c>
      <c r="C813" s="3" t="s">
        <v>3970</v>
      </c>
      <c r="D813" s="3" t="s">
        <v>3971</v>
      </c>
      <c r="E813" s="3" t="s">
        <v>3972</v>
      </c>
      <c r="F813" s="3" t="s">
        <v>3973</v>
      </c>
      <c r="G813" s="3" t="s">
        <v>47</v>
      </c>
      <c r="H813" s="3" t="s">
        <v>3974</v>
      </c>
      <c r="I813">
        <f t="shared" si="24"/>
        <v>340</v>
      </c>
      <c r="J813" t="str">
        <f t="shared" si="25"/>
        <v>VERIFICAR</v>
      </c>
    </row>
    <row r="814" spans="1:10" ht="15" customHeight="1" x14ac:dyDescent="0.2">
      <c r="A814" s="4" t="s">
        <v>3975</v>
      </c>
      <c r="B814" s="4" t="s">
        <v>3976</v>
      </c>
      <c r="C814" s="4" t="s">
        <v>47</v>
      </c>
      <c r="D814" s="4" t="s">
        <v>3977</v>
      </c>
      <c r="E814" s="4" t="s">
        <v>47</v>
      </c>
      <c r="F814" s="4" t="s">
        <v>47</v>
      </c>
      <c r="G814" s="4" t="s">
        <v>47</v>
      </c>
      <c r="H814" s="4" t="s">
        <v>3977</v>
      </c>
      <c r="I814">
        <f t="shared" si="24"/>
        <v>61.98</v>
      </c>
      <c r="J814" t="str">
        <f t="shared" si="25"/>
        <v>VERIFICAR</v>
      </c>
    </row>
    <row r="815" spans="1:10" ht="15" customHeight="1" x14ac:dyDescent="0.2">
      <c r="A815" s="3" t="s">
        <v>3978</v>
      </c>
      <c r="B815" s="3" t="s">
        <v>3979</v>
      </c>
      <c r="C815" s="3" t="s">
        <v>47</v>
      </c>
      <c r="D815" s="3" t="s">
        <v>3980</v>
      </c>
      <c r="E815" s="3" t="s">
        <v>47</v>
      </c>
      <c r="F815" s="3" t="s">
        <v>47</v>
      </c>
      <c r="G815" s="3" t="s">
        <v>47</v>
      </c>
      <c r="H815" s="3" t="s">
        <v>3980</v>
      </c>
      <c r="I815">
        <f t="shared" si="24"/>
        <v>114.18</v>
      </c>
      <c r="J815" t="str">
        <f t="shared" si="25"/>
        <v>VERIFICAR</v>
      </c>
    </row>
    <row r="816" spans="1:10" ht="15" customHeight="1" x14ac:dyDescent="0.2">
      <c r="A816" s="4" t="s">
        <v>3981</v>
      </c>
      <c r="B816" s="4" t="s">
        <v>3982</v>
      </c>
      <c r="C816" s="4" t="s">
        <v>3850</v>
      </c>
      <c r="D816" s="4" t="s">
        <v>3983</v>
      </c>
      <c r="E816" s="4" t="s">
        <v>47</v>
      </c>
      <c r="F816" s="4" t="s">
        <v>47</v>
      </c>
      <c r="G816" s="4" t="s">
        <v>47</v>
      </c>
      <c r="H816" s="4" t="s">
        <v>3984</v>
      </c>
      <c r="I816">
        <f t="shared" si="24"/>
        <v>15</v>
      </c>
      <c r="J816" t="str">
        <f t="shared" si="25"/>
        <v>VERIFICAR</v>
      </c>
    </row>
    <row r="817" spans="1:10" ht="15" customHeight="1" x14ac:dyDescent="0.2">
      <c r="A817" s="3" t="s">
        <v>3985</v>
      </c>
      <c r="B817" s="3" t="s">
        <v>3986</v>
      </c>
      <c r="C817" s="3" t="s">
        <v>47</v>
      </c>
      <c r="D817" s="3" t="s">
        <v>47</v>
      </c>
      <c r="E817" s="3" t="s">
        <v>47</v>
      </c>
      <c r="F817" s="3" t="s">
        <v>3987</v>
      </c>
      <c r="G817" s="3" t="s">
        <v>47</v>
      </c>
      <c r="H817" s="3" t="s">
        <v>3987</v>
      </c>
      <c r="I817">
        <f t="shared" si="24"/>
        <v>1315.19</v>
      </c>
      <c r="J817" t="str">
        <f t="shared" si="25"/>
        <v>VERIFICAR</v>
      </c>
    </row>
    <row r="818" spans="1:10" ht="15" customHeight="1" x14ac:dyDescent="0.2">
      <c r="A818" s="4" t="s">
        <v>3988</v>
      </c>
      <c r="B818" s="4" t="s">
        <v>3989</v>
      </c>
      <c r="C818" s="4" t="s">
        <v>47</v>
      </c>
      <c r="D818" s="4" t="s">
        <v>3990</v>
      </c>
      <c r="E818" s="4" t="s">
        <v>47</v>
      </c>
      <c r="F818" s="4" t="s">
        <v>47</v>
      </c>
      <c r="G818" s="4" t="s">
        <v>47</v>
      </c>
      <c r="H818" s="4" t="s">
        <v>3990</v>
      </c>
      <c r="I818">
        <f t="shared" si="24"/>
        <v>196.04</v>
      </c>
      <c r="J818" t="str">
        <f t="shared" si="25"/>
        <v>VERIFICAR</v>
      </c>
    </row>
    <row r="819" spans="1:10" ht="15" customHeight="1" x14ac:dyDescent="0.2">
      <c r="A819" s="3" t="s">
        <v>3991</v>
      </c>
      <c r="B819" s="3" t="s">
        <v>3992</v>
      </c>
      <c r="C819" s="3" t="s">
        <v>47</v>
      </c>
      <c r="D819" s="3" t="s">
        <v>3993</v>
      </c>
      <c r="E819" s="3" t="s">
        <v>47</v>
      </c>
      <c r="F819" s="3" t="s">
        <v>47</v>
      </c>
      <c r="G819" s="3" t="s">
        <v>47</v>
      </c>
      <c r="H819" s="3" t="s">
        <v>3993</v>
      </c>
      <c r="I819">
        <f t="shared" si="24"/>
        <v>30.6</v>
      </c>
      <c r="J819" t="str">
        <f t="shared" si="25"/>
        <v>VERIFICAR</v>
      </c>
    </row>
    <row r="820" spans="1:10" ht="15" customHeight="1" x14ac:dyDescent="0.2">
      <c r="A820" s="4" t="s">
        <v>3994</v>
      </c>
      <c r="B820" s="4" t="s">
        <v>3995</v>
      </c>
      <c r="C820" s="4" t="s">
        <v>3996</v>
      </c>
      <c r="D820" s="4" t="s">
        <v>3997</v>
      </c>
      <c r="E820" s="4" t="s">
        <v>47</v>
      </c>
      <c r="F820" s="4" t="s">
        <v>47</v>
      </c>
      <c r="G820" s="4" t="s">
        <v>47</v>
      </c>
      <c r="H820" s="4" t="s">
        <v>3998</v>
      </c>
      <c r="I820">
        <f t="shared" si="24"/>
        <v>20.99</v>
      </c>
      <c r="J820" t="str">
        <f t="shared" si="25"/>
        <v>VERIFICAR</v>
      </c>
    </row>
    <row r="821" spans="1:10" ht="15" customHeight="1" x14ac:dyDescent="0.2">
      <c r="A821" s="3" t="s">
        <v>3999</v>
      </c>
      <c r="B821" s="3" t="s">
        <v>4000</v>
      </c>
      <c r="C821" s="3" t="s">
        <v>4001</v>
      </c>
      <c r="D821" s="3" t="s">
        <v>4002</v>
      </c>
      <c r="E821" s="3" t="s">
        <v>47</v>
      </c>
      <c r="F821" s="3" t="s">
        <v>47</v>
      </c>
      <c r="G821" s="3" t="s">
        <v>47</v>
      </c>
      <c r="H821" s="3" t="s">
        <v>4003</v>
      </c>
      <c r="I821">
        <f t="shared" si="24"/>
        <v>1111.32</v>
      </c>
      <c r="J821" t="str">
        <f t="shared" si="25"/>
        <v>VERIFICAR</v>
      </c>
    </row>
    <row r="822" spans="1:10" ht="15" customHeight="1" x14ac:dyDescent="0.2">
      <c r="A822" s="4" t="s">
        <v>4004</v>
      </c>
      <c r="B822" s="4" t="s">
        <v>4005</v>
      </c>
      <c r="C822" s="4" t="s">
        <v>47</v>
      </c>
      <c r="D822" s="4" t="s">
        <v>3967</v>
      </c>
      <c r="E822" s="4" t="s">
        <v>47</v>
      </c>
      <c r="F822" s="4" t="s">
        <v>47</v>
      </c>
      <c r="G822" s="4" t="s">
        <v>47</v>
      </c>
      <c r="H822" s="4" t="s">
        <v>3967</v>
      </c>
      <c r="I822">
        <f t="shared" si="24"/>
        <v>49.9</v>
      </c>
      <c r="J822" t="str">
        <f t="shared" si="25"/>
        <v>VERIFICAR</v>
      </c>
    </row>
    <row r="823" spans="1:10" ht="15" customHeight="1" x14ac:dyDescent="0.2">
      <c r="A823" s="3" t="s">
        <v>4006</v>
      </c>
      <c r="B823" s="3" t="s">
        <v>4007</v>
      </c>
      <c r="C823" s="3" t="s">
        <v>47</v>
      </c>
      <c r="D823" s="3" t="s">
        <v>4008</v>
      </c>
      <c r="E823" s="3" t="s">
        <v>47</v>
      </c>
      <c r="F823" s="3" t="s">
        <v>47</v>
      </c>
      <c r="G823" s="3" t="s">
        <v>47</v>
      </c>
      <c r="H823" s="3" t="s">
        <v>4008</v>
      </c>
      <c r="I823">
        <f t="shared" si="24"/>
        <v>25.54</v>
      </c>
      <c r="J823" t="str">
        <f t="shared" si="25"/>
        <v>VERIFICAR</v>
      </c>
    </row>
    <row r="824" spans="1:10" ht="15" customHeight="1" x14ac:dyDescent="0.2">
      <c r="A824" s="4" t="s">
        <v>4009</v>
      </c>
      <c r="B824" s="4" t="s">
        <v>4010</v>
      </c>
      <c r="C824" s="4" t="s">
        <v>4011</v>
      </c>
      <c r="D824" s="4" t="s">
        <v>4011</v>
      </c>
      <c r="E824" s="4" t="s">
        <v>47</v>
      </c>
      <c r="F824" s="4" t="s">
        <v>4012</v>
      </c>
      <c r="G824" s="4" t="s">
        <v>47</v>
      </c>
      <c r="H824" s="4" t="s">
        <v>4012</v>
      </c>
      <c r="I824">
        <f t="shared" si="24"/>
        <v>2891</v>
      </c>
      <c r="J824" t="str">
        <f t="shared" si="25"/>
        <v>VERIFICAR</v>
      </c>
    </row>
    <row r="825" spans="1:10" ht="15" customHeight="1" x14ac:dyDescent="0.2">
      <c r="A825" s="3" t="s">
        <v>4013</v>
      </c>
      <c r="B825" s="3" t="s">
        <v>4014</v>
      </c>
      <c r="C825" s="3" t="s">
        <v>47</v>
      </c>
      <c r="D825" s="3" t="s">
        <v>4015</v>
      </c>
      <c r="E825" s="3" t="s">
        <v>47</v>
      </c>
      <c r="F825" s="3" t="s">
        <v>47</v>
      </c>
      <c r="G825" s="3" t="s">
        <v>47</v>
      </c>
      <c r="H825" s="3" t="s">
        <v>4015</v>
      </c>
      <c r="I825">
        <f t="shared" si="24"/>
        <v>131.91</v>
      </c>
      <c r="J825" t="str">
        <f t="shared" si="25"/>
        <v>VERIFICAR</v>
      </c>
    </row>
    <row r="826" spans="1:10" ht="15" customHeight="1" x14ac:dyDescent="0.2">
      <c r="A826" s="4" t="s">
        <v>4016</v>
      </c>
      <c r="B826" s="4" t="s">
        <v>4017</v>
      </c>
      <c r="C826" s="4" t="s">
        <v>47</v>
      </c>
      <c r="D826" s="4" t="s">
        <v>4018</v>
      </c>
      <c r="E826" s="4" t="s">
        <v>47</v>
      </c>
      <c r="F826" s="4" t="s">
        <v>47</v>
      </c>
      <c r="G826" s="4" t="s">
        <v>47</v>
      </c>
      <c r="H826" s="4" t="s">
        <v>4018</v>
      </c>
      <c r="I826">
        <f t="shared" si="24"/>
        <v>48.34</v>
      </c>
      <c r="J826" t="str">
        <f t="shared" si="25"/>
        <v>VERIFICAR</v>
      </c>
    </row>
    <row r="827" spans="1:10" ht="15" customHeight="1" x14ac:dyDescent="0.2">
      <c r="A827" s="3" t="s">
        <v>4019</v>
      </c>
      <c r="B827" s="3" t="s">
        <v>4020</v>
      </c>
      <c r="C827" s="3" t="s">
        <v>4021</v>
      </c>
      <c r="D827" s="3" t="s">
        <v>4022</v>
      </c>
      <c r="E827" s="3" t="s">
        <v>47</v>
      </c>
      <c r="F827" s="3" t="s">
        <v>47</v>
      </c>
      <c r="G827" s="3" t="s">
        <v>47</v>
      </c>
      <c r="H827" s="3" t="s">
        <v>4023</v>
      </c>
      <c r="I827">
        <f t="shared" si="24"/>
        <v>299.97000000000003</v>
      </c>
      <c r="J827" t="str">
        <f t="shared" si="25"/>
        <v>VERIFICAR</v>
      </c>
    </row>
    <row r="828" spans="1:10" ht="15" customHeight="1" x14ac:dyDescent="0.2">
      <c r="A828" s="4" t="s">
        <v>4024</v>
      </c>
      <c r="B828" s="4" t="s">
        <v>4025</v>
      </c>
      <c r="C828" s="4" t="s">
        <v>47</v>
      </c>
      <c r="D828" s="4" t="s">
        <v>702</v>
      </c>
      <c r="E828" s="4" t="s">
        <v>47</v>
      </c>
      <c r="F828" s="4" t="s">
        <v>47</v>
      </c>
      <c r="G828" s="4" t="s">
        <v>47</v>
      </c>
      <c r="H828" s="4" t="s">
        <v>702</v>
      </c>
      <c r="I828">
        <f t="shared" si="24"/>
        <v>130</v>
      </c>
      <c r="J828" t="str">
        <f t="shared" si="25"/>
        <v>VERIFICAR</v>
      </c>
    </row>
    <row r="829" spans="1:10" ht="15" customHeight="1" x14ac:dyDescent="0.2">
      <c r="A829" s="3" t="s">
        <v>4026</v>
      </c>
      <c r="B829" s="3" t="s">
        <v>4027</v>
      </c>
      <c r="C829" s="3" t="s">
        <v>411</v>
      </c>
      <c r="D829" s="3" t="s">
        <v>915</v>
      </c>
      <c r="E829" s="3" t="s">
        <v>47</v>
      </c>
      <c r="F829" s="3" t="s">
        <v>47</v>
      </c>
      <c r="G829" s="3" t="s">
        <v>47</v>
      </c>
      <c r="H829" s="3" t="s">
        <v>411</v>
      </c>
      <c r="I829">
        <f t="shared" si="24"/>
        <v>100</v>
      </c>
      <c r="J829" t="str">
        <f t="shared" si="25"/>
        <v>VERIFICAR</v>
      </c>
    </row>
    <row r="830" spans="1:10" ht="15" customHeight="1" x14ac:dyDescent="0.2">
      <c r="A830" s="4" t="s">
        <v>4028</v>
      </c>
      <c r="B830" s="4" t="s">
        <v>4029</v>
      </c>
      <c r="C830" s="4" t="s">
        <v>4030</v>
      </c>
      <c r="D830" s="4" t="s">
        <v>4031</v>
      </c>
      <c r="E830" s="4" t="s">
        <v>47</v>
      </c>
      <c r="F830" s="4" t="s">
        <v>47</v>
      </c>
      <c r="G830" s="4" t="s">
        <v>47</v>
      </c>
      <c r="H830" s="4" t="s">
        <v>4032</v>
      </c>
      <c r="I830">
        <f t="shared" si="24"/>
        <v>34.979999999999997</v>
      </c>
      <c r="J830" t="str">
        <f t="shared" si="25"/>
        <v>VERIFICAR</v>
      </c>
    </row>
    <row r="831" spans="1:10" ht="15" customHeight="1" x14ac:dyDescent="0.2">
      <c r="A831" s="3" t="s">
        <v>4033</v>
      </c>
      <c r="B831" s="3" t="s">
        <v>4034</v>
      </c>
      <c r="C831" s="3" t="s">
        <v>4035</v>
      </c>
      <c r="D831" s="3" t="s">
        <v>4036</v>
      </c>
      <c r="E831" s="3" t="s">
        <v>47</v>
      </c>
      <c r="F831" s="3" t="s">
        <v>47</v>
      </c>
      <c r="G831" s="3" t="s">
        <v>47</v>
      </c>
      <c r="H831" s="3" t="s">
        <v>4037</v>
      </c>
      <c r="I831">
        <f t="shared" si="24"/>
        <v>382.58</v>
      </c>
      <c r="J831" t="str">
        <f t="shared" si="25"/>
        <v>VERIFICAR</v>
      </c>
    </row>
    <row r="832" spans="1:10" ht="15" customHeight="1" x14ac:dyDescent="0.2">
      <c r="A832" s="4" t="s">
        <v>4038</v>
      </c>
      <c r="B832" s="4" t="s">
        <v>4039</v>
      </c>
      <c r="C832" s="4" t="s">
        <v>47</v>
      </c>
      <c r="D832" s="4" t="s">
        <v>4040</v>
      </c>
      <c r="E832" s="4" t="s">
        <v>47</v>
      </c>
      <c r="F832" s="4" t="s">
        <v>47</v>
      </c>
      <c r="G832" s="4" t="s">
        <v>47</v>
      </c>
      <c r="H832" s="4" t="s">
        <v>4040</v>
      </c>
      <c r="I832">
        <f t="shared" si="24"/>
        <v>37.700000000000003</v>
      </c>
      <c r="J832" t="str">
        <f t="shared" si="25"/>
        <v>VERIFICAR</v>
      </c>
    </row>
    <row r="833" spans="1:10" ht="15" customHeight="1" x14ac:dyDescent="0.2">
      <c r="A833" s="3" t="s">
        <v>4041</v>
      </c>
      <c r="B833" s="3" t="s">
        <v>4042</v>
      </c>
      <c r="C833" s="3" t="s">
        <v>4043</v>
      </c>
      <c r="D833" s="3" t="s">
        <v>4044</v>
      </c>
      <c r="E833" s="3" t="s">
        <v>47</v>
      </c>
      <c r="F833" s="3" t="s">
        <v>47</v>
      </c>
      <c r="G833" s="3" t="s">
        <v>47</v>
      </c>
      <c r="H833" s="3" t="s">
        <v>4045</v>
      </c>
      <c r="I833">
        <f t="shared" si="24"/>
        <v>245</v>
      </c>
      <c r="J833" t="str">
        <f t="shared" si="25"/>
        <v>VERIFICAR</v>
      </c>
    </row>
    <row r="834" spans="1:10" ht="15" customHeight="1" x14ac:dyDescent="0.2">
      <c r="A834" s="4" t="s">
        <v>4046</v>
      </c>
      <c r="B834" s="4" t="s">
        <v>4047</v>
      </c>
      <c r="C834" s="4" t="s">
        <v>4048</v>
      </c>
      <c r="D834" s="4" t="s">
        <v>4049</v>
      </c>
      <c r="E834" s="4" t="s">
        <v>4050</v>
      </c>
      <c r="F834" s="4" t="s">
        <v>47</v>
      </c>
      <c r="G834" s="4" t="s">
        <v>47</v>
      </c>
      <c r="H834" s="4" t="s">
        <v>47</v>
      </c>
      <c r="I834">
        <f t="shared" si="24"/>
        <v>0</v>
      </c>
      <c r="J834" t="str">
        <f t="shared" si="25"/>
        <v>VERIFICAR</v>
      </c>
    </row>
    <row r="835" spans="1:10" ht="15" customHeight="1" x14ac:dyDescent="0.2">
      <c r="A835" s="3" t="s">
        <v>4051</v>
      </c>
      <c r="B835" s="3" t="s">
        <v>4052</v>
      </c>
      <c r="C835" s="3" t="s">
        <v>4053</v>
      </c>
      <c r="D835" s="3" t="s">
        <v>4054</v>
      </c>
      <c r="E835" s="3" t="s">
        <v>4055</v>
      </c>
      <c r="F835" s="3" t="s">
        <v>4055</v>
      </c>
      <c r="G835" s="3" t="s">
        <v>47</v>
      </c>
      <c r="H835" s="3" t="s">
        <v>4056</v>
      </c>
      <c r="I835">
        <f t="shared" si="24"/>
        <v>153.58000000000001</v>
      </c>
      <c r="J835" t="str">
        <f t="shared" si="25"/>
        <v>VERIFICAR</v>
      </c>
    </row>
    <row r="836" spans="1:10" ht="15" customHeight="1" x14ac:dyDescent="0.2">
      <c r="A836" s="4" t="s">
        <v>4057</v>
      </c>
      <c r="B836" s="4" t="s">
        <v>4058</v>
      </c>
      <c r="C836" s="4" t="s">
        <v>4059</v>
      </c>
      <c r="D836" s="4" t="s">
        <v>4060</v>
      </c>
      <c r="E836" s="4" t="s">
        <v>47</v>
      </c>
      <c r="F836" s="4" t="s">
        <v>47</v>
      </c>
      <c r="G836" s="4" t="s">
        <v>394</v>
      </c>
      <c r="H836" s="4" t="s">
        <v>47</v>
      </c>
      <c r="I836">
        <f t="shared" ref="I836:I899" si="26">IF(MID(A836,1,1)="1",G836-H836,IF(MID(A836,1,1)="2",H836-G836,"VERIFICAR"))</f>
        <v>-0.01</v>
      </c>
      <c r="J836" t="str">
        <f t="shared" ref="J836:J899" si="27">IF(MID(A836,1,1)="1",H836-I836,IF(MID(B836,1,1)="2",I836-H836,IF(MID(A836,1,1)="3",F836-E836,IF(MID(A836,1,1)="4",E836-F836,"VERIFICAR"))))</f>
        <v>VERIFICAR</v>
      </c>
    </row>
    <row r="837" spans="1:10" ht="15" customHeight="1" x14ac:dyDescent="0.2">
      <c r="A837" s="3" t="s">
        <v>4061</v>
      </c>
      <c r="B837" s="3" t="s">
        <v>4062</v>
      </c>
      <c r="C837" s="3" t="s">
        <v>4063</v>
      </c>
      <c r="D837" s="3" t="s">
        <v>4064</v>
      </c>
      <c r="E837" s="3" t="s">
        <v>47</v>
      </c>
      <c r="F837" s="3" t="s">
        <v>47</v>
      </c>
      <c r="G837" s="3" t="s">
        <v>47</v>
      </c>
      <c r="H837" s="3" t="s">
        <v>4065</v>
      </c>
      <c r="I837">
        <f t="shared" si="26"/>
        <v>105</v>
      </c>
      <c r="J837" t="str">
        <f t="shared" si="27"/>
        <v>VERIFICAR</v>
      </c>
    </row>
    <row r="838" spans="1:10" ht="15" customHeight="1" x14ac:dyDescent="0.2">
      <c r="A838" s="4" t="s">
        <v>4066</v>
      </c>
      <c r="B838" s="4" t="s">
        <v>4067</v>
      </c>
      <c r="C838" s="4" t="s">
        <v>4068</v>
      </c>
      <c r="D838" s="4" t="s">
        <v>4069</v>
      </c>
      <c r="E838" s="4" t="s">
        <v>47</v>
      </c>
      <c r="F838" s="4" t="s">
        <v>47</v>
      </c>
      <c r="G838" s="4" t="s">
        <v>47</v>
      </c>
      <c r="H838" s="4" t="s">
        <v>4070</v>
      </c>
      <c r="I838">
        <f t="shared" si="26"/>
        <v>952.28</v>
      </c>
      <c r="J838" t="str">
        <f t="shared" si="27"/>
        <v>VERIFICAR</v>
      </c>
    </row>
    <row r="839" spans="1:10" ht="15" customHeight="1" x14ac:dyDescent="0.2">
      <c r="A839" s="3" t="s">
        <v>4071</v>
      </c>
      <c r="B839" s="3" t="s">
        <v>4072</v>
      </c>
      <c r="C839" s="3" t="s">
        <v>4073</v>
      </c>
      <c r="D839" s="3" t="s">
        <v>4074</v>
      </c>
      <c r="E839" s="3" t="s">
        <v>4075</v>
      </c>
      <c r="F839" s="3" t="s">
        <v>4075</v>
      </c>
      <c r="G839" s="3" t="s">
        <v>47</v>
      </c>
      <c r="H839" s="3" t="s">
        <v>4076</v>
      </c>
      <c r="I839">
        <f t="shared" si="26"/>
        <v>522.04</v>
      </c>
      <c r="J839" t="str">
        <f t="shared" si="27"/>
        <v>VERIFICAR</v>
      </c>
    </row>
    <row r="840" spans="1:10" ht="15" customHeight="1" x14ac:dyDescent="0.2">
      <c r="A840" s="4" t="s">
        <v>4077</v>
      </c>
      <c r="B840" s="4" t="s">
        <v>4078</v>
      </c>
      <c r="C840" s="4" t="s">
        <v>4079</v>
      </c>
      <c r="D840" s="4" t="s">
        <v>4080</v>
      </c>
      <c r="E840" s="4" t="s">
        <v>47</v>
      </c>
      <c r="F840" s="4" t="s">
        <v>47</v>
      </c>
      <c r="G840" s="4" t="s">
        <v>47</v>
      </c>
      <c r="H840" s="4" t="s">
        <v>4081</v>
      </c>
      <c r="I840">
        <f t="shared" si="26"/>
        <v>65</v>
      </c>
      <c r="J840" t="str">
        <f t="shared" si="27"/>
        <v>VERIFICAR</v>
      </c>
    </row>
    <row r="841" spans="1:10" ht="15" customHeight="1" x14ac:dyDescent="0.2">
      <c r="A841" s="3" t="s">
        <v>4082</v>
      </c>
      <c r="B841" s="3" t="s">
        <v>689</v>
      </c>
      <c r="C841" s="3" t="s">
        <v>4083</v>
      </c>
      <c r="D841" s="3" t="s">
        <v>4083</v>
      </c>
      <c r="E841" s="3" t="s">
        <v>47</v>
      </c>
      <c r="F841" s="3" t="s">
        <v>4084</v>
      </c>
      <c r="G841" s="3" t="s">
        <v>47</v>
      </c>
      <c r="H841" s="3" t="s">
        <v>4084</v>
      </c>
      <c r="I841">
        <f t="shared" si="26"/>
        <v>5800</v>
      </c>
      <c r="J841" t="str">
        <f t="shared" si="27"/>
        <v>VERIFICAR</v>
      </c>
    </row>
    <row r="842" spans="1:10" ht="15" customHeight="1" x14ac:dyDescent="0.2">
      <c r="A842" s="4" t="s">
        <v>4085</v>
      </c>
      <c r="B842" s="4" t="s">
        <v>4086</v>
      </c>
      <c r="C842" s="4" t="s">
        <v>4087</v>
      </c>
      <c r="D842" s="4" t="s">
        <v>4087</v>
      </c>
      <c r="E842" s="4" t="s">
        <v>4088</v>
      </c>
      <c r="F842" s="4" t="s">
        <v>4088</v>
      </c>
      <c r="G842" s="4" t="s">
        <v>47</v>
      </c>
      <c r="H842" s="4" t="s">
        <v>47</v>
      </c>
      <c r="I842">
        <f t="shared" si="26"/>
        <v>0</v>
      </c>
      <c r="J842" t="str">
        <f t="shared" si="27"/>
        <v>VERIFICAR</v>
      </c>
    </row>
    <row r="843" spans="1:10" ht="15" customHeight="1" x14ac:dyDescent="0.2">
      <c r="A843" s="3" t="s">
        <v>4089</v>
      </c>
      <c r="B843" s="3" t="s">
        <v>4090</v>
      </c>
      <c r="C843" s="3" t="s">
        <v>3802</v>
      </c>
      <c r="D843" s="3" t="s">
        <v>4091</v>
      </c>
      <c r="E843" s="3" t="s">
        <v>1209</v>
      </c>
      <c r="F843" s="3" t="s">
        <v>47</v>
      </c>
      <c r="G843" s="3" t="s">
        <v>47</v>
      </c>
      <c r="H843" s="3" t="s">
        <v>47</v>
      </c>
      <c r="I843">
        <f t="shared" si="26"/>
        <v>0</v>
      </c>
      <c r="J843" t="str">
        <f t="shared" si="27"/>
        <v>VERIFICAR</v>
      </c>
    </row>
    <row r="844" spans="1:10" ht="15" customHeight="1" x14ac:dyDescent="0.2">
      <c r="A844" s="4" t="s">
        <v>4092</v>
      </c>
      <c r="B844" s="4" t="s">
        <v>4093</v>
      </c>
      <c r="C844" s="4" t="s">
        <v>4094</v>
      </c>
      <c r="D844" s="4" t="s">
        <v>4095</v>
      </c>
      <c r="E844" s="4" t="s">
        <v>47</v>
      </c>
      <c r="F844" s="4" t="s">
        <v>47</v>
      </c>
      <c r="G844" s="4" t="s">
        <v>47</v>
      </c>
      <c r="H844" s="4" t="s">
        <v>4096</v>
      </c>
      <c r="I844">
        <f t="shared" si="26"/>
        <v>121.8</v>
      </c>
      <c r="J844" t="str">
        <f t="shared" si="27"/>
        <v>VERIFICAR</v>
      </c>
    </row>
    <row r="845" spans="1:10" ht="15" customHeight="1" x14ac:dyDescent="0.2">
      <c r="A845" s="3" t="s">
        <v>4097</v>
      </c>
      <c r="B845" s="3" t="s">
        <v>4098</v>
      </c>
      <c r="C845" s="3" t="s">
        <v>47</v>
      </c>
      <c r="D845" s="3" t="s">
        <v>4099</v>
      </c>
      <c r="E845" s="3" t="s">
        <v>47</v>
      </c>
      <c r="F845" s="3" t="s">
        <v>47</v>
      </c>
      <c r="G845" s="3" t="s">
        <v>47</v>
      </c>
      <c r="H845" s="3" t="s">
        <v>4099</v>
      </c>
      <c r="I845">
        <f t="shared" si="26"/>
        <v>376.6</v>
      </c>
      <c r="J845" t="str">
        <f t="shared" si="27"/>
        <v>VERIFICAR</v>
      </c>
    </row>
    <row r="846" spans="1:10" ht="15" customHeight="1" x14ac:dyDescent="0.2">
      <c r="A846" s="4" t="s">
        <v>4100</v>
      </c>
      <c r="B846" s="4" t="s">
        <v>1864</v>
      </c>
      <c r="C846" s="4" t="s">
        <v>47</v>
      </c>
      <c r="D846" s="4" t="s">
        <v>411</v>
      </c>
      <c r="E846" s="4" t="s">
        <v>47</v>
      </c>
      <c r="F846" s="4" t="s">
        <v>47</v>
      </c>
      <c r="G846" s="4" t="s">
        <v>47</v>
      </c>
      <c r="H846" s="4" t="s">
        <v>411</v>
      </c>
      <c r="I846">
        <f t="shared" si="26"/>
        <v>100</v>
      </c>
      <c r="J846" t="str">
        <f t="shared" si="27"/>
        <v>VERIFICAR</v>
      </c>
    </row>
    <row r="847" spans="1:10" ht="15" customHeight="1" x14ac:dyDescent="0.2">
      <c r="A847" s="3" t="s">
        <v>4101</v>
      </c>
      <c r="B847" s="3" t="s">
        <v>4102</v>
      </c>
      <c r="C847" s="3" t="s">
        <v>47</v>
      </c>
      <c r="D847" s="3" t="s">
        <v>4103</v>
      </c>
      <c r="E847" s="3" t="s">
        <v>47</v>
      </c>
      <c r="F847" s="3" t="s">
        <v>47</v>
      </c>
      <c r="G847" s="3" t="s">
        <v>47</v>
      </c>
      <c r="H847" s="3" t="s">
        <v>4103</v>
      </c>
      <c r="I847">
        <f t="shared" si="26"/>
        <v>768</v>
      </c>
      <c r="J847" t="str">
        <f t="shared" si="27"/>
        <v>VERIFICAR</v>
      </c>
    </row>
    <row r="848" spans="1:10" ht="15" customHeight="1" x14ac:dyDescent="0.2">
      <c r="A848" s="4" t="s">
        <v>4104</v>
      </c>
      <c r="B848" s="4" t="s">
        <v>4105</v>
      </c>
      <c r="C848" s="4" t="s">
        <v>47</v>
      </c>
      <c r="D848" s="4" t="s">
        <v>4106</v>
      </c>
      <c r="E848" s="4" t="s">
        <v>47</v>
      </c>
      <c r="F848" s="4" t="s">
        <v>47</v>
      </c>
      <c r="G848" s="4" t="s">
        <v>47</v>
      </c>
      <c r="H848" s="4" t="s">
        <v>4106</v>
      </c>
      <c r="I848">
        <f t="shared" si="26"/>
        <v>35.42</v>
      </c>
      <c r="J848" t="str">
        <f t="shared" si="27"/>
        <v>VERIFICAR</v>
      </c>
    </row>
    <row r="849" spans="1:10" ht="15" customHeight="1" x14ac:dyDescent="0.2">
      <c r="A849" s="3" t="s">
        <v>4107</v>
      </c>
      <c r="B849" s="3" t="s">
        <v>4108</v>
      </c>
      <c r="C849" s="3" t="s">
        <v>47</v>
      </c>
      <c r="D849" s="3" t="s">
        <v>4109</v>
      </c>
      <c r="E849" s="3" t="s">
        <v>47</v>
      </c>
      <c r="F849" s="3" t="s">
        <v>47</v>
      </c>
      <c r="G849" s="3" t="s">
        <v>47</v>
      </c>
      <c r="H849" s="3" t="s">
        <v>4109</v>
      </c>
      <c r="I849">
        <f t="shared" si="26"/>
        <v>549.34</v>
      </c>
      <c r="J849" t="str">
        <f t="shared" si="27"/>
        <v>VERIFICAR</v>
      </c>
    </row>
    <row r="850" spans="1:10" ht="15" customHeight="1" x14ac:dyDescent="0.2">
      <c r="A850" s="4" t="s">
        <v>4110</v>
      </c>
      <c r="B850" s="4" t="s">
        <v>4111</v>
      </c>
      <c r="C850" s="4" t="s">
        <v>47</v>
      </c>
      <c r="D850" s="4" t="s">
        <v>4112</v>
      </c>
      <c r="E850" s="4" t="s">
        <v>47</v>
      </c>
      <c r="F850" s="4" t="s">
        <v>47</v>
      </c>
      <c r="G850" s="4" t="s">
        <v>47</v>
      </c>
      <c r="H850" s="4" t="s">
        <v>4112</v>
      </c>
      <c r="I850">
        <f t="shared" si="26"/>
        <v>51.98</v>
      </c>
      <c r="J850" t="str">
        <f t="shared" si="27"/>
        <v>VERIFICAR</v>
      </c>
    </row>
    <row r="851" spans="1:10" ht="15" customHeight="1" x14ac:dyDescent="0.2">
      <c r="A851" s="3" t="s">
        <v>4113</v>
      </c>
      <c r="B851" s="3" t="s">
        <v>4114</v>
      </c>
      <c r="C851" s="3" t="s">
        <v>47</v>
      </c>
      <c r="D851" s="3" t="s">
        <v>4115</v>
      </c>
      <c r="E851" s="3" t="s">
        <v>47</v>
      </c>
      <c r="F851" s="3" t="s">
        <v>47</v>
      </c>
      <c r="G851" s="3" t="s">
        <v>47</v>
      </c>
      <c r="H851" s="3" t="s">
        <v>4115</v>
      </c>
      <c r="I851">
        <f t="shared" si="26"/>
        <v>513.98</v>
      </c>
      <c r="J851" t="str">
        <f t="shared" si="27"/>
        <v>VERIFICAR</v>
      </c>
    </row>
    <row r="852" spans="1:10" ht="15" customHeight="1" x14ac:dyDescent="0.2">
      <c r="A852" s="4" t="s">
        <v>4116</v>
      </c>
      <c r="B852" s="4" t="s">
        <v>4117</v>
      </c>
      <c r="C852" s="4" t="s">
        <v>47</v>
      </c>
      <c r="D852" s="4" t="s">
        <v>4118</v>
      </c>
      <c r="E852" s="4" t="s">
        <v>47</v>
      </c>
      <c r="F852" s="4" t="s">
        <v>47</v>
      </c>
      <c r="G852" s="4" t="s">
        <v>47</v>
      </c>
      <c r="H852" s="4" t="s">
        <v>4118</v>
      </c>
      <c r="I852">
        <f t="shared" si="26"/>
        <v>121.18</v>
      </c>
      <c r="J852" t="str">
        <f t="shared" si="27"/>
        <v>VERIFICAR</v>
      </c>
    </row>
    <row r="853" spans="1:10" ht="15" customHeight="1" x14ac:dyDescent="0.2">
      <c r="A853" s="3" t="s">
        <v>4119</v>
      </c>
      <c r="B853" s="3" t="s">
        <v>4120</v>
      </c>
      <c r="C853" s="3" t="s">
        <v>47</v>
      </c>
      <c r="D853" s="3" t="s">
        <v>4121</v>
      </c>
      <c r="E853" s="3" t="s">
        <v>47</v>
      </c>
      <c r="F853" s="3" t="s">
        <v>47</v>
      </c>
      <c r="G853" s="3" t="s">
        <v>47</v>
      </c>
      <c r="H853" s="3" t="s">
        <v>4121</v>
      </c>
      <c r="I853">
        <f t="shared" si="26"/>
        <v>65.08</v>
      </c>
      <c r="J853" t="str">
        <f t="shared" si="27"/>
        <v>VERIFICAR</v>
      </c>
    </row>
    <row r="854" spans="1:10" ht="15" customHeight="1" x14ac:dyDescent="0.2">
      <c r="A854" s="4" t="s">
        <v>4122</v>
      </c>
      <c r="B854" s="4" t="s">
        <v>4123</v>
      </c>
      <c r="C854" s="4" t="s">
        <v>4124</v>
      </c>
      <c r="D854" s="4" t="s">
        <v>4124</v>
      </c>
      <c r="E854" s="4" t="s">
        <v>47</v>
      </c>
      <c r="F854" s="4" t="s">
        <v>4125</v>
      </c>
      <c r="G854" s="4" t="s">
        <v>47</v>
      </c>
      <c r="H854" s="4" t="s">
        <v>4125</v>
      </c>
      <c r="I854">
        <f t="shared" si="26"/>
        <v>150</v>
      </c>
      <c r="J854" t="str">
        <f t="shared" si="27"/>
        <v>VERIFICAR</v>
      </c>
    </row>
    <row r="855" spans="1:10" ht="15" customHeight="1" x14ac:dyDescent="0.2">
      <c r="A855" s="3" t="s">
        <v>4126</v>
      </c>
      <c r="B855" s="3" t="s">
        <v>4127</v>
      </c>
      <c r="C855" s="3" t="s">
        <v>1209</v>
      </c>
      <c r="D855" s="3" t="s">
        <v>1209</v>
      </c>
      <c r="E855" s="3" t="s">
        <v>4128</v>
      </c>
      <c r="F855" s="3" t="s">
        <v>4128</v>
      </c>
      <c r="G855" s="3" t="s">
        <v>47</v>
      </c>
      <c r="H855" s="3" t="s">
        <v>47</v>
      </c>
      <c r="I855">
        <f t="shared" si="26"/>
        <v>0</v>
      </c>
      <c r="J855" t="str">
        <f t="shared" si="27"/>
        <v>VERIFICAR</v>
      </c>
    </row>
    <row r="856" spans="1:10" ht="15" customHeight="1" x14ac:dyDescent="0.2">
      <c r="A856" s="4" t="s">
        <v>4129</v>
      </c>
      <c r="B856" s="4" t="s">
        <v>4130</v>
      </c>
      <c r="C856" s="4" t="s">
        <v>915</v>
      </c>
      <c r="D856" s="4" t="s">
        <v>4131</v>
      </c>
      <c r="E856" s="4" t="s">
        <v>47</v>
      </c>
      <c r="F856" s="4" t="s">
        <v>47</v>
      </c>
      <c r="G856" s="4" t="s">
        <v>47</v>
      </c>
      <c r="H856" s="4" t="s">
        <v>4132</v>
      </c>
      <c r="I856">
        <f t="shared" si="26"/>
        <v>480.88</v>
      </c>
      <c r="J856" t="str">
        <f t="shared" si="27"/>
        <v>VERIFICAR</v>
      </c>
    </row>
    <row r="857" spans="1:10" ht="15" customHeight="1" x14ac:dyDescent="0.2">
      <c r="A857" s="3" t="s">
        <v>4133</v>
      </c>
      <c r="B857" s="3" t="s">
        <v>4134</v>
      </c>
      <c r="C857" s="3" t="s">
        <v>4065</v>
      </c>
      <c r="D857" s="3" t="s">
        <v>4135</v>
      </c>
      <c r="E857" s="3" t="s">
        <v>47</v>
      </c>
      <c r="F857" s="3" t="s">
        <v>47</v>
      </c>
      <c r="G857" s="3" t="s">
        <v>47</v>
      </c>
      <c r="H857" s="3" t="s">
        <v>4136</v>
      </c>
      <c r="I857">
        <f t="shared" si="26"/>
        <v>160</v>
      </c>
      <c r="J857" t="str">
        <f t="shared" si="27"/>
        <v>VERIFICAR</v>
      </c>
    </row>
    <row r="858" spans="1:10" ht="15" customHeight="1" x14ac:dyDescent="0.2">
      <c r="A858" s="4" t="s">
        <v>4137</v>
      </c>
      <c r="B858" s="4" t="s">
        <v>4138</v>
      </c>
      <c r="C858" s="4" t="s">
        <v>4139</v>
      </c>
      <c r="D858" s="4" t="s">
        <v>4139</v>
      </c>
      <c r="E858" s="4" t="s">
        <v>4140</v>
      </c>
      <c r="F858" s="4" t="s">
        <v>4140</v>
      </c>
      <c r="G858" s="4" t="s">
        <v>47</v>
      </c>
      <c r="H858" s="4" t="s">
        <v>47</v>
      </c>
      <c r="I858">
        <f t="shared" si="26"/>
        <v>0</v>
      </c>
      <c r="J858" t="str">
        <f t="shared" si="27"/>
        <v>VERIFICAR</v>
      </c>
    </row>
    <row r="859" spans="1:10" ht="15" customHeight="1" x14ac:dyDescent="0.2">
      <c r="A859" s="3" t="s">
        <v>4141</v>
      </c>
      <c r="B859" s="3" t="s">
        <v>4142</v>
      </c>
      <c r="C859" s="3" t="s">
        <v>47</v>
      </c>
      <c r="D859" s="3" t="s">
        <v>4143</v>
      </c>
      <c r="E859" s="3" t="s">
        <v>47</v>
      </c>
      <c r="F859" s="3" t="s">
        <v>47</v>
      </c>
      <c r="G859" s="3" t="s">
        <v>47</v>
      </c>
      <c r="H859" s="3" t="s">
        <v>4143</v>
      </c>
      <c r="I859">
        <f t="shared" si="26"/>
        <v>273.62</v>
      </c>
      <c r="J859" t="str">
        <f t="shared" si="27"/>
        <v>VERIFICAR</v>
      </c>
    </row>
    <row r="860" spans="1:10" ht="15" customHeight="1" x14ac:dyDescent="0.2">
      <c r="A860" s="4" t="s">
        <v>4144</v>
      </c>
      <c r="B860" s="4" t="s">
        <v>1763</v>
      </c>
      <c r="C860" s="4" t="s">
        <v>411</v>
      </c>
      <c r="D860" s="4" t="s">
        <v>4145</v>
      </c>
      <c r="E860" s="4" t="s">
        <v>47</v>
      </c>
      <c r="F860" s="4" t="s">
        <v>47</v>
      </c>
      <c r="G860" s="4" t="s">
        <v>47</v>
      </c>
      <c r="H860" s="4" t="s">
        <v>2561</v>
      </c>
      <c r="I860">
        <f t="shared" si="26"/>
        <v>3000</v>
      </c>
      <c r="J860" t="str">
        <f t="shared" si="27"/>
        <v>VERIFICAR</v>
      </c>
    </row>
    <row r="861" spans="1:10" ht="15" customHeight="1" x14ac:dyDescent="0.2">
      <c r="A861" s="3" t="s">
        <v>4146</v>
      </c>
      <c r="B861" s="3" t="s">
        <v>1937</v>
      </c>
      <c r="C861" s="3" t="s">
        <v>47</v>
      </c>
      <c r="D861" s="3" t="s">
        <v>1940</v>
      </c>
      <c r="E861" s="3" t="s">
        <v>47</v>
      </c>
      <c r="F861" s="3" t="s">
        <v>47</v>
      </c>
      <c r="G861" s="3" t="s">
        <v>47</v>
      </c>
      <c r="H861" s="3" t="s">
        <v>1940</v>
      </c>
      <c r="I861">
        <f t="shared" si="26"/>
        <v>5000</v>
      </c>
      <c r="J861" t="str">
        <f t="shared" si="27"/>
        <v>VERIFICAR</v>
      </c>
    </row>
    <row r="862" spans="1:10" ht="15" customHeight="1" x14ac:dyDescent="0.2">
      <c r="A862" s="4" t="s">
        <v>4147</v>
      </c>
      <c r="B862" s="4" t="s">
        <v>4148</v>
      </c>
      <c r="C862" s="4" t="s">
        <v>47</v>
      </c>
      <c r="D862" s="4" t="s">
        <v>4149</v>
      </c>
      <c r="E862" s="4" t="s">
        <v>47</v>
      </c>
      <c r="F862" s="4" t="s">
        <v>47</v>
      </c>
      <c r="G862" s="4" t="s">
        <v>47</v>
      </c>
      <c r="H862" s="4" t="s">
        <v>4149</v>
      </c>
      <c r="I862">
        <f t="shared" si="26"/>
        <v>99.9</v>
      </c>
      <c r="J862" t="str">
        <f t="shared" si="27"/>
        <v>VERIFICAR</v>
      </c>
    </row>
    <row r="863" spans="1:10" ht="15" customHeight="1" x14ac:dyDescent="0.2">
      <c r="A863" s="3" t="s">
        <v>4150</v>
      </c>
      <c r="B863" s="3" t="s">
        <v>4151</v>
      </c>
      <c r="C863" s="3" t="s">
        <v>47</v>
      </c>
      <c r="D863" s="3" t="s">
        <v>4152</v>
      </c>
      <c r="E863" s="3" t="s">
        <v>47</v>
      </c>
      <c r="F863" s="3" t="s">
        <v>47</v>
      </c>
      <c r="G863" s="3" t="s">
        <v>47</v>
      </c>
      <c r="H863" s="3" t="s">
        <v>4152</v>
      </c>
      <c r="I863">
        <f t="shared" si="26"/>
        <v>157.58000000000001</v>
      </c>
      <c r="J863" t="str">
        <f t="shared" si="27"/>
        <v>VERIFICAR</v>
      </c>
    </row>
    <row r="864" spans="1:10" ht="15" customHeight="1" x14ac:dyDescent="0.2">
      <c r="A864" s="4" t="s">
        <v>4153</v>
      </c>
      <c r="B864" s="4" t="s">
        <v>4154</v>
      </c>
      <c r="C864" s="4" t="s">
        <v>47</v>
      </c>
      <c r="D864" s="4" t="s">
        <v>4155</v>
      </c>
      <c r="E864" s="4" t="s">
        <v>47</v>
      </c>
      <c r="F864" s="4" t="s">
        <v>47</v>
      </c>
      <c r="G864" s="4" t="s">
        <v>47</v>
      </c>
      <c r="H864" s="4" t="s">
        <v>4155</v>
      </c>
      <c r="I864">
        <f t="shared" si="26"/>
        <v>294.14</v>
      </c>
      <c r="J864" t="str">
        <f t="shared" si="27"/>
        <v>VERIFICAR</v>
      </c>
    </row>
    <row r="865" spans="1:10" ht="15" customHeight="1" x14ac:dyDescent="0.2">
      <c r="A865" s="3" t="s">
        <v>4156</v>
      </c>
      <c r="B865" s="3" t="s">
        <v>4157</v>
      </c>
      <c r="C865" s="3" t="s">
        <v>47</v>
      </c>
      <c r="D865" s="3" t="s">
        <v>4158</v>
      </c>
      <c r="E865" s="3" t="s">
        <v>47</v>
      </c>
      <c r="F865" s="3" t="s">
        <v>47</v>
      </c>
      <c r="G865" s="3" t="s">
        <v>47</v>
      </c>
      <c r="H865" s="3" t="s">
        <v>4158</v>
      </c>
      <c r="I865">
        <f t="shared" si="26"/>
        <v>225</v>
      </c>
      <c r="J865" t="str">
        <f t="shared" si="27"/>
        <v>VERIFICAR</v>
      </c>
    </row>
    <row r="866" spans="1:10" ht="15" customHeight="1" x14ac:dyDescent="0.2">
      <c r="A866" s="4" t="s">
        <v>4159</v>
      </c>
      <c r="B866" s="4" t="s">
        <v>4160</v>
      </c>
      <c r="C866" s="4" t="s">
        <v>47</v>
      </c>
      <c r="D866" s="4" t="s">
        <v>4161</v>
      </c>
      <c r="E866" s="4" t="s">
        <v>47</v>
      </c>
      <c r="F866" s="4" t="s">
        <v>47</v>
      </c>
      <c r="G866" s="4" t="s">
        <v>47</v>
      </c>
      <c r="H866" s="4" t="s">
        <v>4161</v>
      </c>
      <c r="I866">
        <f t="shared" si="26"/>
        <v>40.799999999999997</v>
      </c>
      <c r="J866" t="str">
        <f t="shared" si="27"/>
        <v>VERIFICAR</v>
      </c>
    </row>
    <row r="867" spans="1:10" ht="15" customHeight="1" x14ac:dyDescent="0.2">
      <c r="A867" s="3" t="s">
        <v>4162</v>
      </c>
      <c r="B867" s="3" t="s">
        <v>4163</v>
      </c>
      <c r="C867" s="3" t="s">
        <v>47</v>
      </c>
      <c r="D867" s="3" t="s">
        <v>4164</v>
      </c>
      <c r="E867" s="3" t="s">
        <v>47</v>
      </c>
      <c r="F867" s="3" t="s">
        <v>47</v>
      </c>
      <c r="G867" s="3" t="s">
        <v>47</v>
      </c>
      <c r="H867" s="3" t="s">
        <v>4164</v>
      </c>
      <c r="I867">
        <f t="shared" si="26"/>
        <v>9008.2800000000007</v>
      </c>
      <c r="J867" t="str">
        <f t="shared" si="27"/>
        <v>VERIFICAR</v>
      </c>
    </row>
    <row r="868" spans="1:10" ht="15" customHeight="1" x14ac:dyDescent="0.2">
      <c r="A868" s="4" t="s">
        <v>4165</v>
      </c>
      <c r="B868" s="4" t="s">
        <v>4166</v>
      </c>
      <c r="C868" s="4" t="s">
        <v>4167</v>
      </c>
      <c r="D868" s="4" t="s">
        <v>4168</v>
      </c>
      <c r="E868" s="4" t="s">
        <v>47</v>
      </c>
      <c r="F868" s="4" t="s">
        <v>47</v>
      </c>
      <c r="G868" s="4" t="s">
        <v>47</v>
      </c>
      <c r="H868" s="4" t="s">
        <v>4169</v>
      </c>
      <c r="I868">
        <f t="shared" si="26"/>
        <v>108.97</v>
      </c>
      <c r="J868" t="str">
        <f t="shared" si="27"/>
        <v>VERIFICAR</v>
      </c>
    </row>
    <row r="869" spans="1:10" ht="15" customHeight="1" x14ac:dyDescent="0.2">
      <c r="A869" s="3" t="s">
        <v>4170</v>
      </c>
      <c r="B869" s="3" t="s">
        <v>4171</v>
      </c>
      <c r="C869" s="3" t="s">
        <v>47</v>
      </c>
      <c r="D869" s="3" t="s">
        <v>4081</v>
      </c>
      <c r="E869" s="3" t="s">
        <v>47</v>
      </c>
      <c r="F869" s="3" t="s">
        <v>47</v>
      </c>
      <c r="G869" s="3" t="s">
        <v>47</v>
      </c>
      <c r="H869" s="3" t="s">
        <v>4081</v>
      </c>
      <c r="I869">
        <f t="shared" si="26"/>
        <v>65</v>
      </c>
      <c r="J869" t="str">
        <f t="shared" si="27"/>
        <v>VERIFICAR</v>
      </c>
    </row>
    <row r="870" spans="1:10" ht="15" customHeight="1" x14ac:dyDescent="0.2">
      <c r="A870" s="4" t="s">
        <v>4172</v>
      </c>
      <c r="B870" s="4" t="s">
        <v>4173</v>
      </c>
      <c r="C870" s="4" t="s">
        <v>47</v>
      </c>
      <c r="D870" s="4" t="s">
        <v>4174</v>
      </c>
      <c r="E870" s="4" t="s">
        <v>47</v>
      </c>
      <c r="F870" s="4" t="s">
        <v>47</v>
      </c>
      <c r="G870" s="4" t="s">
        <v>47</v>
      </c>
      <c r="H870" s="4" t="s">
        <v>4174</v>
      </c>
      <c r="I870">
        <f t="shared" si="26"/>
        <v>33.880000000000003</v>
      </c>
      <c r="J870" t="str">
        <f t="shared" si="27"/>
        <v>VERIFICAR</v>
      </c>
    </row>
    <row r="871" spans="1:10" ht="15" customHeight="1" x14ac:dyDescent="0.2">
      <c r="A871" s="3" t="s">
        <v>4175</v>
      </c>
      <c r="B871" s="3" t="s">
        <v>4176</v>
      </c>
      <c r="C871" s="3" t="s">
        <v>47</v>
      </c>
      <c r="D871" s="3" t="s">
        <v>3546</v>
      </c>
      <c r="E871" s="3" t="s">
        <v>47</v>
      </c>
      <c r="F871" s="3" t="s">
        <v>47</v>
      </c>
      <c r="G871" s="3" t="s">
        <v>47</v>
      </c>
      <c r="H871" s="3" t="s">
        <v>3546</v>
      </c>
      <c r="I871">
        <f t="shared" si="26"/>
        <v>40</v>
      </c>
      <c r="J871" t="str">
        <f t="shared" si="27"/>
        <v>VERIFICAR</v>
      </c>
    </row>
    <row r="872" spans="1:10" ht="15" customHeight="1" x14ac:dyDescent="0.2">
      <c r="A872" s="4" t="s">
        <v>4177</v>
      </c>
      <c r="B872" s="4" t="s">
        <v>4178</v>
      </c>
      <c r="C872" s="4" t="s">
        <v>47</v>
      </c>
      <c r="D872" s="4" t="s">
        <v>4179</v>
      </c>
      <c r="E872" s="4" t="s">
        <v>47</v>
      </c>
      <c r="F872" s="4" t="s">
        <v>47</v>
      </c>
      <c r="G872" s="4" t="s">
        <v>47</v>
      </c>
      <c r="H872" s="4" t="s">
        <v>4179</v>
      </c>
      <c r="I872">
        <f t="shared" si="26"/>
        <v>42.9</v>
      </c>
      <c r="J872" t="str">
        <f t="shared" si="27"/>
        <v>VERIFICAR</v>
      </c>
    </row>
    <row r="873" spans="1:10" ht="15" customHeight="1" x14ac:dyDescent="0.2">
      <c r="A873" s="3" t="s">
        <v>4180</v>
      </c>
      <c r="B873" s="3" t="s">
        <v>4181</v>
      </c>
      <c r="C873" s="3" t="s">
        <v>47</v>
      </c>
      <c r="D873" s="3" t="s">
        <v>4182</v>
      </c>
      <c r="E873" s="3" t="s">
        <v>47</v>
      </c>
      <c r="F873" s="3" t="s">
        <v>47</v>
      </c>
      <c r="G873" s="3" t="s">
        <v>47</v>
      </c>
      <c r="H873" s="3" t="s">
        <v>4182</v>
      </c>
      <c r="I873">
        <f t="shared" si="26"/>
        <v>35</v>
      </c>
      <c r="J873" t="str">
        <f t="shared" si="27"/>
        <v>VERIFICAR</v>
      </c>
    </row>
    <row r="874" spans="1:10" ht="15" customHeight="1" x14ac:dyDescent="0.2">
      <c r="A874" s="4" t="s">
        <v>4183</v>
      </c>
      <c r="B874" s="4" t="s">
        <v>4184</v>
      </c>
      <c r="C874" s="4" t="s">
        <v>4185</v>
      </c>
      <c r="D874" s="4" t="s">
        <v>4186</v>
      </c>
      <c r="E874" s="4" t="s">
        <v>47</v>
      </c>
      <c r="F874" s="4" t="s">
        <v>47</v>
      </c>
      <c r="G874" s="4" t="s">
        <v>47</v>
      </c>
      <c r="H874" s="4" t="s">
        <v>4187</v>
      </c>
      <c r="I874">
        <f t="shared" si="26"/>
        <v>1394.07</v>
      </c>
      <c r="J874" t="str">
        <f t="shared" si="27"/>
        <v>VERIFICAR</v>
      </c>
    </row>
    <row r="875" spans="1:10" ht="15" customHeight="1" x14ac:dyDescent="0.2">
      <c r="A875" s="3" t="s">
        <v>4188</v>
      </c>
      <c r="B875" s="3" t="s">
        <v>4189</v>
      </c>
      <c r="C875" s="3" t="s">
        <v>47</v>
      </c>
      <c r="D875" s="3" t="s">
        <v>4190</v>
      </c>
      <c r="E875" s="3" t="s">
        <v>47</v>
      </c>
      <c r="F875" s="3" t="s">
        <v>47</v>
      </c>
      <c r="G875" s="3" t="s">
        <v>47</v>
      </c>
      <c r="H875" s="3" t="s">
        <v>4190</v>
      </c>
      <c r="I875">
        <f t="shared" si="26"/>
        <v>24.9</v>
      </c>
      <c r="J875" t="str">
        <f t="shared" si="27"/>
        <v>VERIFICAR</v>
      </c>
    </row>
    <row r="876" spans="1:10" ht="15" customHeight="1" x14ac:dyDescent="0.2">
      <c r="A876" s="4" t="s">
        <v>4191</v>
      </c>
      <c r="B876" s="4" t="s">
        <v>4192</v>
      </c>
      <c r="C876" s="4" t="s">
        <v>915</v>
      </c>
      <c r="D876" s="4" t="s">
        <v>4193</v>
      </c>
      <c r="E876" s="4" t="s">
        <v>47</v>
      </c>
      <c r="F876" s="4" t="s">
        <v>47</v>
      </c>
      <c r="G876" s="4" t="s">
        <v>47</v>
      </c>
      <c r="H876" s="4" t="s">
        <v>915</v>
      </c>
      <c r="I876">
        <f t="shared" si="26"/>
        <v>200</v>
      </c>
      <c r="J876" t="str">
        <f t="shared" si="27"/>
        <v>VERIFICAR</v>
      </c>
    </row>
    <row r="877" spans="1:10" ht="15" customHeight="1" x14ac:dyDescent="0.2">
      <c r="A877" s="3" t="s">
        <v>4194</v>
      </c>
      <c r="B877" s="3" t="s">
        <v>4195</v>
      </c>
      <c r="C877" s="3" t="s">
        <v>47</v>
      </c>
      <c r="D877" s="3" t="s">
        <v>4196</v>
      </c>
      <c r="E877" s="3" t="s">
        <v>47</v>
      </c>
      <c r="F877" s="3" t="s">
        <v>47</v>
      </c>
      <c r="G877" s="3" t="s">
        <v>47</v>
      </c>
      <c r="H877" s="3" t="s">
        <v>4196</v>
      </c>
      <c r="I877">
        <f t="shared" si="26"/>
        <v>2115</v>
      </c>
      <c r="J877" t="str">
        <f t="shared" si="27"/>
        <v>VERIFICAR</v>
      </c>
    </row>
    <row r="878" spans="1:10" ht="15" customHeight="1" x14ac:dyDescent="0.2">
      <c r="A878" s="4" t="s">
        <v>4197</v>
      </c>
      <c r="B878" s="4" t="s">
        <v>4198</v>
      </c>
      <c r="C878" s="4" t="s">
        <v>4199</v>
      </c>
      <c r="D878" s="4" t="s">
        <v>4200</v>
      </c>
      <c r="E878" s="4" t="s">
        <v>47</v>
      </c>
      <c r="F878" s="4" t="s">
        <v>47</v>
      </c>
      <c r="G878" s="4" t="s">
        <v>47</v>
      </c>
      <c r="H878" s="4" t="s">
        <v>4201</v>
      </c>
      <c r="I878">
        <f t="shared" si="26"/>
        <v>6.97</v>
      </c>
      <c r="J878" t="str">
        <f t="shared" si="27"/>
        <v>VERIFICAR</v>
      </c>
    </row>
    <row r="879" spans="1:10" ht="15" customHeight="1" x14ac:dyDescent="0.2">
      <c r="A879" s="3" t="s">
        <v>4202</v>
      </c>
      <c r="B879" s="3" t="s">
        <v>4203</v>
      </c>
      <c r="C879" s="3" t="s">
        <v>47</v>
      </c>
      <c r="D879" s="3" t="s">
        <v>4204</v>
      </c>
      <c r="E879" s="3" t="s">
        <v>47</v>
      </c>
      <c r="F879" s="3" t="s">
        <v>47</v>
      </c>
      <c r="G879" s="3" t="s">
        <v>47</v>
      </c>
      <c r="H879" s="3" t="s">
        <v>4204</v>
      </c>
      <c r="I879">
        <f t="shared" si="26"/>
        <v>1599.89</v>
      </c>
      <c r="J879" t="str">
        <f t="shared" si="27"/>
        <v>VERIFICAR</v>
      </c>
    </row>
    <row r="880" spans="1:10" ht="15" customHeight="1" x14ac:dyDescent="0.2">
      <c r="A880" s="4" t="s">
        <v>4205</v>
      </c>
      <c r="B880" s="4" t="s">
        <v>4206</v>
      </c>
      <c r="C880" s="4" t="s">
        <v>47</v>
      </c>
      <c r="D880" s="4" t="s">
        <v>4207</v>
      </c>
      <c r="E880" s="4" t="s">
        <v>47</v>
      </c>
      <c r="F880" s="4" t="s">
        <v>47</v>
      </c>
      <c r="G880" s="4" t="s">
        <v>47</v>
      </c>
      <c r="H880" s="4" t="s">
        <v>4207</v>
      </c>
      <c r="I880">
        <f t="shared" si="26"/>
        <v>367.46</v>
      </c>
      <c r="J880" t="str">
        <f t="shared" si="27"/>
        <v>VERIFICAR</v>
      </c>
    </row>
    <row r="881" spans="1:10" ht="15" customHeight="1" x14ac:dyDescent="0.2">
      <c r="A881" s="3" t="s">
        <v>4208</v>
      </c>
      <c r="B881" s="3" t="s">
        <v>4209</v>
      </c>
      <c r="C881" s="3" t="s">
        <v>47</v>
      </c>
      <c r="D881" s="3" t="s">
        <v>4210</v>
      </c>
      <c r="E881" s="3" t="s">
        <v>47</v>
      </c>
      <c r="F881" s="3" t="s">
        <v>47</v>
      </c>
      <c r="G881" s="3" t="s">
        <v>47</v>
      </c>
      <c r="H881" s="3" t="s">
        <v>4210</v>
      </c>
      <c r="I881">
        <f t="shared" si="26"/>
        <v>78.900000000000006</v>
      </c>
      <c r="J881" t="str">
        <f t="shared" si="27"/>
        <v>VERIFICAR</v>
      </c>
    </row>
    <row r="882" spans="1:10" ht="15" customHeight="1" x14ac:dyDescent="0.2">
      <c r="A882" s="4" t="s">
        <v>4211</v>
      </c>
      <c r="B882" s="4" t="s">
        <v>4212</v>
      </c>
      <c r="C882" s="4" t="s">
        <v>47</v>
      </c>
      <c r="D882" s="4" t="s">
        <v>4213</v>
      </c>
      <c r="E882" s="4" t="s">
        <v>47</v>
      </c>
      <c r="F882" s="4" t="s">
        <v>47</v>
      </c>
      <c r="G882" s="4" t="s">
        <v>47</v>
      </c>
      <c r="H882" s="4" t="s">
        <v>4213</v>
      </c>
      <c r="I882">
        <f t="shared" si="26"/>
        <v>25.7</v>
      </c>
      <c r="J882" t="str">
        <f t="shared" si="27"/>
        <v>VERIFICAR</v>
      </c>
    </row>
    <row r="883" spans="1:10" ht="15" customHeight="1" x14ac:dyDescent="0.2">
      <c r="A883" s="3" t="s">
        <v>4214</v>
      </c>
      <c r="B883" s="3" t="s">
        <v>4215</v>
      </c>
      <c r="C883" s="3" t="s">
        <v>47</v>
      </c>
      <c r="D883" s="3" t="s">
        <v>4216</v>
      </c>
      <c r="E883" s="3" t="s">
        <v>47</v>
      </c>
      <c r="F883" s="3" t="s">
        <v>47</v>
      </c>
      <c r="G883" s="3" t="s">
        <v>47</v>
      </c>
      <c r="H883" s="3" t="s">
        <v>4216</v>
      </c>
      <c r="I883">
        <f t="shared" si="26"/>
        <v>58.23</v>
      </c>
      <c r="J883" t="str">
        <f t="shared" si="27"/>
        <v>VERIFICAR</v>
      </c>
    </row>
    <row r="884" spans="1:10" ht="15" customHeight="1" x14ac:dyDescent="0.2">
      <c r="A884" s="4" t="s">
        <v>4217</v>
      </c>
      <c r="B884" s="4" t="s">
        <v>4218</v>
      </c>
      <c r="C884" s="4" t="s">
        <v>47</v>
      </c>
      <c r="D884" s="4" t="s">
        <v>4219</v>
      </c>
      <c r="E884" s="4" t="s">
        <v>47</v>
      </c>
      <c r="F884" s="4" t="s">
        <v>47</v>
      </c>
      <c r="G884" s="4" t="s">
        <v>47</v>
      </c>
      <c r="H884" s="4" t="s">
        <v>4219</v>
      </c>
      <c r="I884">
        <f t="shared" si="26"/>
        <v>45.34</v>
      </c>
      <c r="J884" t="str">
        <f t="shared" si="27"/>
        <v>VERIFICAR</v>
      </c>
    </row>
    <row r="885" spans="1:10" ht="15" customHeight="1" x14ac:dyDescent="0.2">
      <c r="A885" s="3" t="s">
        <v>4220</v>
      </c>
      <c r="B885" s="3" t="s">
        <v>4221</v>
      </c>
      <c r="C885" s="3" t="s">
        <v>4222</v>
      </c>
      <c r="D885" s="3" t="s">
        <v>4223</v>
      </c>
      <c r="E885" s="3" t="s">
        <v>47</v>
      </c>
      <c r="F885" s="3" t="s">
        <v>47</v>
      </c>
      <c r="G885" s="3" t="s">
        <v>47</v>
      </c>
      <c r="H885" s="3" t="s">
        <v>4224</v>
      </c>
      <c r="I885">
        <f t="shared" si="26"/>
        <v>49</v>
      </c>
      <c r="J885" t="str">
        <f t="shared" si="27"/>
        <v>VERIFICAR</v>
      </c>
    </row>
    <row r="886" spans="1:10" ht="15" customHeight="1" x14ac:dyDescent="0.2">
      <c r="A886" s="4" t="s">
        <v>4225</v>
      </c>
      <c r="B886" s="4" t="s">
        <v>4226</v>
      </c>
      <c r="C886" s="4" t="s">
        <v>47</v>
      </c>
      <c r="D886" s="4" t="s">
        <v>4227</v>
      </c>
      <c r="E886" s="4" t="s">
        <v>47</v>
      </c>
      <c r="F886" s="4" t="s">
        <v>47</v>
      </c>
      <c r="G886" s="4" t="s">
        <v>47</v>
      </c>
      <c r="H886" s="4" t="s">
        <v>4227</v>
      </c>
      <c r="I886">
        <f t="shared" si="26"/>
        <v>35.4</v>
      </c>
      <c r="J886" t="str">
        <f t="shared" si="27"/>
        <v>VERIFICAR</v>
      </c>
    </row>
    <row r="887" spans="1:10" ht="15" customHeight="1" x14ac:dyDescent="0.2">
      <c r="A887" s="3" t="s">
        <v>4228</v>
      </c>
      <c r="B887" s="3" t="s">
        <v>4229</v>
      </c>
      <c r="C887" s="3" t="s">
        <v>47</v>
      </c>
      <c r="D887" s="3" t="s">
        <v>4230</v>
      </c>
      <c r="E887" s="3" t="s">
        <v>47</v>
      </c>
      <c r="F887" s="3" t="s">
        <v>47</v>
      </c>
      <c r="G887" s="3" t="s">
        <v>47</v>
      </c>
      <c r="H887" s="3" t="s">
        <v>4230</v>
      </c>
      <c r="I887">
        <f t="shared" si="26"/>
        <v>38</v>
      </c>
      <c r="J887" t="str">
        <f t="shared" si="27"/>
        <v>VERIFICAR</v>
      </c>
    </row>
    <row r="888" spans="1:10" ht="15" customHeight="1" x14ac:dyDescent="0.2">
      <c r="A888" s="4" t="s">
        <v>4231</v>
      </c>
      <c r="B888" s="4" t="s">
        <v>4232</v>
      </c>
      <c r="C888" s="4" t="s">
        <v>47</v>
      </c>
      <c r="D888" s="4" t="s">
        <v>4233</v>
      </c>
      <c r="E888" s="4" t="s">
        <v>47</v>
      </c>
      <c r="F888" s="4" t="s">
        <v>47</v>
      </c>
      <c r="G888" s="4" t="s">
        <v>47</v>
      </c>
      <c r="H888" s="4" t="s">
        <v>4233</v>
      </c>
      <c r="I888">
        <f t="shared" si="26"/>
        <v>30.03</v>
      </c>
      <c r="J888" t="str">
        <f t="shared" si="27"/>
        <v>VERIFICAR</v>
      </c>
    </row>
    <row r="889" spans="1:10" ht="15" customHeight="1" x14ac:dyDescent="0.2">
      <c r="A889" s="3" t="s">
        <v>4234</v>
      </c>
      <c r="B889" s="3" t="s">
        <v>4235</v>
      </c>
      <c r="C889" s="3" t="s">
        <v>47</v>
      </c>
      <c r="D889" s="3" t="s">
        <v>4236</v>
      </c>
      <c r="E889" s="3" t="s">
        <v>47</v>
      </c>
      <c r="F889" s="3" t="s">
        <v>47</v>
      </c>
      <c r="G889" s="3" t="s">
        <v>47</v>
      </c>
      <c r="H889" s="3" t="s">
        <v>4236</v>
      </c>
      <c r="I889">
        <f t="shared" si="26"/>
        <v>28.21</v>
      </c>
      <c r="J889" t="str">
        <f t="shared" si="27"/>
        <v>VERIFICAR</v>
      </c>
    </row>
    <row r="890" spans="1:10" ht="15" customHeight="1" x14ac:dyDescent="0.2">
      <c r="A890" s="4" t="s">
        <v>4237</v>
      </c>
      <c r="B890" s="4" t="s">
        <v>4238</v>
      </c>
      <c r="C890" s="4" t="s">
        <v>47</v>
      </c>
      <c r="D890" s="4" t="s">
        <v>4239</v>
      </c>
      <c r="E890" s="4" t="s">
        <v>47</v>
      </c>
      <c r="F890" s="4" t="s">
        <v>47</v>
      </c>
      <c r="G890" s="4" t="s">
        <v>47</v>
      </c>
      <c r="H890" s="4" t="s">
        <v>4239</v>
      </c>
      <c r="I890">
        <f t="shared" si="26"/>
        <v>31.86</v>
      </c>
      <c r="J890" t="str">
        <f t="shared" si="27"/>
        <v>VERIFICAR</v>
      </c>
    </row>
    <row r="891" spans="1:10" ht="15" customHeight="1" x14ac:dyDescent="0.2">
      <c r="A891" s="3" t="s">
        <v>4240</v>
      </c>
      <c r="B891" s="3" t="s">
        <v>4241</v>
      </c>
      <c r="C891" s="3" t="s">
        <v>47</v>
      </c>
      <c r="D891" s="3" t="s">
        <v>4242</v>
      </c>
      <c r="E891" s="3" t="s">
        <v>47</v>
      </c>
      <c r="F891" s="3" t="s">
        <v>47</v>
      </c>
      <c r="G891" s="3" t="s">
        <v>47</v>
      </c>
      <c r="H891" s="3" t="s">
        <v>4242</v>
      </c>
      <c r="I891">
        <f t="shared" si="26"/>
        <v>144.04</v>
      </c>
      <c r="J891" t="str">
        <f t="shared" si="27"/>
        <v>VERIFICAR</v>
      </c>
    </row>
    <row r="892" spans="1:10" ht="15" customHeight="1" x14ac:dyDescent="0.2">
      <c r="A892" s="4" t="s">
        <v>4243</v>
      </c>
      <c r="B892" s="4" t="s">
        <v>4244</v>
      </c>
      <c r="C892" s="4" t="s">
        <v>47</v>
      </c>
      <c r="D892" s="4" t="s">
        <v>4245</v>
      </c>
      <c r="E892" s="4" t="s">
        <v>47</v>
      </c>
      <c r="F892" s="4" t="s">
        <v>47</v>
      </c>
      <c r="G892" s="4" t="s">
        <v>47</v>
      </c>
      <c r="H892" s="4" t="s">
        <v>4245</v>
      </c>
      <c r="I892">
        <f t="shared" si="26"/>
        <v>39.5</v>
      </c>
      <c r="J892" t="str">
        <f t="shared" si="27"/>
        <v>VERIFICAR</v>
      </c>
    </row>
    <row r="893" spans="1:10" ht="15" customHeight="1" x14ac:dyDescent="0.2">
      <c r="A893" s="3" t="s">
        <v>4246</v>
      </c>
      <c r="B893" s="3" t="s">
        <v>4247</v>
      </c>
      <c r="C893" s="3" t="s">
        <v>47</v>
      </c>
      <c r="D893" s="3" t="s">
        <v>4248</v>
      </c>
      <c r="E893" s="3" t="s">
        <v>47</v>
      </c>
      <c r="F893" s="3" t="s">
        <v>47</v>
      </c>
      <c r="G893" s="3" t="s">
        <v>47</v>
      </c>
      <c r="H893" s="3" t="s">
        <v>4248</v>
      </c>
      <c r="I893">
        <f t="shared" si="26"/>
        <v>28.55</v>
      </c>
      <c r="J893" t="str">
        <f t="shared" si="27"/>
        <v>VERIFICAR</v>
      </c>
    </row>
    <row r="894" spans="1:10" ht="15" customHeight="1" x14ac:dyDescent="0.2">
      <c r="A894" s="4" t="s">
        <v>4249</v>
      </c>
      <c r="B894" s="4" t="s">
        <v>4250</v>
      </c>
      <c r="C894" s="4" t="s">
        <v>47</v>
      </c>
      <c r="D894" s="4" t="s">
        <v>4182</v>
      </c>
      <c r="E894" s="4" t="s">
        <v>47</v>
      </c>
      <c r="F894" s="4" t="s">
        <v>47</v>
      </c>
      <c r="G894" s="4" t="s">
        <v>47</v>
      </c>
      <c r="H894" s="4" t="s">
        <v>4182</v>
      </c>
      <c r="I894">
        <f t="shared" si="26"/>
        <v>35</v>
      </c>
      <c r="J894" t="str">
        <f t="shared" si="27"/>
        <v>VERIFICAR</v>
      </c>
    </row>
    <row r="895" spans="1:10" ht="15" customHeight="1" x14ac:dyDescent="0.2">
      <c r="A895" s="3" t="s">
        <v>4251</v>
      </c>
      <c r="B895" s="3" t="s">
        <v>4252</v>
      </c>
      <c r="C895" s="3" t="s">
        <v>47</v>
      </c>
      <c r="D895" s="3" t="s">
        <v>4253</v>
      </c>
      <c r="E895" s="3" t="s">
        <v>47</v>
      </c>
      <c r="F895" s="3" t="s">
        <v>47</v>
      </c>
      <c r="G895" s="3" t="s">
        <v>47</v>
      </c>
      <c r="H895" s="3" t="s">
        <v>4253</v>
      </c>
      <c r="I895">
        <f t="shared" si="26"/>
        <v>56.21</v>
      </c>
      <c r="J895" t="str">
        <f t="shared" si="27"/>
        <v>VERIFICAR</v>
      </c>
    </row>
    <row r="896" spans="1:10" ht="15" customHeight="1" x14ac:dyDescent="0.2">
      <c r="A896" s="4" t="s">
        <v>4254</v>
      </c>
      <c r="B896" s="4" t="s">
        <v>4255</v>
      </c>
      <c r="C896" s="4" t="s">
        <v>4256</v>
      </c>
      <c r="D896" s="4" t="s">
        <v>4256</v>
      </c>
      <c r="E896" s="4" t="s">
        <v>4257</v>
      </c>
      <c r="F896" s="4" t="s">
        <v>4258</v>
      </c>
      <c r="G896" s="4" t="s">
        <v>47</v>
      </c>
      <c r="H896" s="4" t="s">
        <v>4257</v>
      </c>
      <c r="I896">
        <f t="shared" si="26"/>
        <v>96</v>
      </c>
      <c r="J896" t="str">
        <f t="shared" si="27"/>
        <v>VERIFICAR</v>
      </c>
    </row>
    <row r="897" spans="1:10" ht="15" customHeight="1" x14ac:dyDescent="0.2">
      <c r="A897" s="3" t="s">
        <v>4259</v>
      </c>
      <c r="B897" s="3" t="s">
        <v>4260</v>
      </c>
      <c r="C897" s="3" t="s">
        <v>47</v>
      </c>
      <c r="D897" s="3" t="s">
        <v>4261</v>
      </c>
      <c r="E897" s="3" t="s">
        <v>47</v>
      </c>
      <c r="F897" s="3" t="s">
        <v>47</v>
      </c>
      <c r="G897" s="3" t="s">
        <v>47</v>
      </c>
      <c r="H897" s="3" t="s">
        <v>4261</v>
      </c>
      <c r="I897">
        <f t="shared" si="26"/>
        <v>58.19</v>
      </c>
      <c r="J897" t="str">
        <f t="shared" si="27"/>
        <v>VERIFICAR</v>
      </c>
    </row>
    <row r="898" spans="1:10" ht="15" customHeight="1" x14ac:dyDescent="0.2">
      <c r="A898" s="4" t="s">
        <v>4262</v>
      </c>
      <c r="B898" s="4" t="s">
        <v>4263</v>
      </c>
      <c r="C898" s="4" t="s">
        <v>47</v>
      </c>
      <c r="D898" s="4" t="s">
        <v>4264</v>
      </c>
      <c r="E898" s="4" t="s">
        <v>47</v>
      </c>
      <c r="F898" s="4" t="s">
        <v>47</v>
      </c>
      <c r="G898" s="4" t="s">
        <v>47</v>
      </c>
      <c r="H898" s="4" t="s">
        <v>4264</v>
      </c>
      <c r="I898">
        <f t="shared" si="26"/>
        <v>252.72</v>
      </c>
      <c r="J898" t="str">
        <f t="shared" si="27"/>
        <v>VERIFICAR</v>
      </c>
    </row>
    <row r="899" spans="1:10" ht="15" customHeight="1" x14ac:dyDescent="0.2">
      <c r="A899" s="3" t="s">
        <v>4265</v>
      </c>
      <c r="B899" s="3" t="s">
        <v>4266</v>
      </c>
      <c r="C899" s="3" t="s">
        <v>47</v>
      </c>
      <c r="D899" s="3" t="s">
        <v>915</v>
      </c>
      <c r="E899" s="3" t="s">
        <v>47</v>
      </c>
      <c r="F899" s="3" t="s">
        <v>47</v>
      </c>
      <c r="G899" s="3" t="s">
        <v>47</v>
      </c>
      <c r="H899" s="3" t="s">
        <v>915</v>
      </c>
      <c r="I899">
        <f t="shared" si="26"/>
        <v>200</v>
      </c>
      <c r="J899" t="str">
        <f t="shared" si="27"/>
        <v>VERIFICAR</v>
      </c>
    </row>
    <row r="900" spans="1:10" ht="15" customHeight="1" x14ac:dyDescent="0.2">
      <c r="A900" s="4" t="s">
        <v>4267</v>
      </c>
      <c r="B900" s="4" t="s">
        <v>4268</v>
      </c>
      <c r="C900" s="4" t="s">
        <v>4269</v>
      </c>
      <c r="D900" s="4" t="s">
        <v>4269</v>
      </c>
      <c r="E900" s="4" t="s">
        <v>47</v>
      </c>
      <c r="F900" s="4" t="s">
        <v>4270</v>
      </c>
      <c r="G900" s="4" t="s">
        <v>47</v>
      </c>
      <c r="H900" s="4" t="s">
        <v>4270</v>
      </c>
      <c r="I900">
        <f t="shared" ref="I900:I963" si="28">IF(MID(A900,1,1)="1",G900-H900,IF(MID(A900,1,1)="2",H900-G900,"VERIFICAR"))</f>
        <v>13</v>
      </c>
      <c r="J900" t="str">
        <f t="shared" ref="J900:J963" si="29">IF(MID(A900,1,1)="1",H900-I900,IF(MID(B900,1,1)="2",I900-H900,IF(MID(A900,1,1)="3",F900-E900,IF(MID(A900,1,1)="4",E900-F900,"VERIFICAR"))))</f>
        <v>VERIFICAR</v>
      </c>
    </row>
    <row r="901" spans="1:10" ht="15" customHeight="1" x14ac:dyDescent="0.2">
      <c r="A901" s="3" t="s">
        <v>4271</v>
      </c>
      <c r="B901" s="3" t="s">
        <v>4272</v>
      </c>
      <c r="C901" s="3" t="s">
        <v>47</v>
      </c>
      <c r="D901" s="3" t="s">
        <v>4273</v>
      </c>
      <c r="E901" s="3" t="s">
        <v>47</v>
      </c>
      <c r="F901" s="3" t="s">
        <v>47</v>
      </c>
      <c r="G901" s="3" t="s">
        <v>47</v>
      </c>
      <c r="H901" s="3" t="s">
        <v>4273</v>
      </c>
      <c r="I901">
        <f t="shared" si="28"/>
        <v>114.98</v>
      </c>
      <c r="J901" t="str">
        <f t="shared" si="29"/>
        <v>VERIFICAR</v>
      </c>
    </row>
    <row r="902" spans="1:10" ht="15" customHeight="1" x14ac:dyDescent="0.2">
      <c r="A902" s="4" t="s">
        <v>4274</v>
      </c>
      <c r="B902" s="4" t="s">
        <v>4275</v>
      </c>
      <c r="C902" s="4" t="s">
        <v>4276</v>
      </c>
      <c r="D902" s="4" t="s">
        <v>4277</v>
      </c>
      <c r="E902" s="4" t="s">
        <v>47</v>
      </c>
      <c r="F902" s="4" t="s">
        <v>4278</v>
      </c>
      <c r="G902" s="4" t="s">
        <v>47</v>
      </c>
      <c r="H902" s="4" t="s">
        <v>4279</v>
      </c>
      <c r="I902">
        <f t="shared" si="28"/>
        <v>15.5</v>
      </c>
      <c r="J902" t="str">
        <f t="shared" si="29"/>
        <v>VERIFICAR</v>
      </c>
    </row>
    <row r="903" spans="1:10" ht="15" customHeight="1" x14ac:dyDescent="0.2">
      <c r="A903" s="3" t="s">
        <v>4280</v>
      </c>
      <c r="B903" s="3" t="s">
        <v>4281</v>
      </c>
      <c r="C903" s="3" t="s">
        <v>4282</v>
      </c>
      <c r="D903" s="3" t="s">
        <v>4283</v>
      </c>
      <c r="E903" s="3" t="s">
        <v>47</v>
      </c>
      <c r="F903" s="3" t="s">
        <v>47</v>
      </c>
      <c r="G903" s="3" t="s">
        <v>47</v>
      </c>
      <c r="H903" s="3" t="s">
        <v>4282</v>
      </c>
      <c r="I903">
        <f t="shared" si="28"/>
        <v>4800</v>
      </c>
      <c r="J903" t="str">
        <f t="shared" si="29"/>
        <v>VERIFICAR</v>
      </c>
    </row>
    <row r="904" spans="1:10" ht="15" customHeight="1" x14ac:dyDescent="0.2">
      <c r="A904" s="4" t="s">
        <v>4284</v>
      </c>
      <c r="B904" s="4" t="s">
        <v>4285</v>
      </c>
      <c r="C904" s="4" t="s">
        <v>4286</v>
      </c>
      <c r="D904" s="4" t="s">
        <v>4286</v>
      </c>
      <c r="E904" s="4" t="s">
        <v>47</v>
      </c>
      <c r="F904" s="4" t="s">
        <v>4287</v>
      </c>
      <c r="G904" s="4" t="s">
        <v>47</v>
      </c>
      <c r="H904" s="4" t="s">
        <v>4287</v>
      </c>
      <c r="I904">
        <f t="shared" si="28"/>
        <v>735</v>
      </c>
      <c r="J904" t="str">
        <f t="shared" si="29"/>
        <v>VERIFICAR</v>
      </c>
    </row>
    <row r="905" spans="1:10" ht="15" customHeight="1" x14ac:dyDescent="0.2">
      <c r="A905" s="3" t="s">
        <v>4288</v>
      </c>
      <c r="B905" s="3" t="s">
        <v>4289</v>
      </c>
      <c r="C905" s="3" t="s">
        <v>47</v>
      </c>
      <c r="D905" s="3" t="s">
        <v>4290</v>
      </c>
      <c r="E905" s="3" t="s">
        <v>47</v>
      </c>
      <c r="F905" s="3" t="s">
        <v>47</v>
      </c>
      <c r="G905" s="3" t="s">
        <v>47</v>
      </c>
      <c r="H905" s="3" t="s">
        <v>4290</v>
      </c>
      <c r="I905">
        <f t="shared" si="28"/>
        <v>611.52</v>
      </c>
      <c r="J905" t="str">
        <f t="shared" si="29"/>
        <v>VERIFICAR</v>
      </c>
    </row>
    <row r="906" spans="1:10" ht="15" customHeight="1" x14ac:dyDescent="0.2">
      <c r="A906" s="4" t="s">
        <v>4291</v>
      </c>
      <c r="B906" s="4" t="s">
        <v>4292</v>
      </c>
      <c r="C906" s="4" t="s">
        <v>4293</v>
      </c>
      <c r="D906" s="4" t="s">
        <v>4293</v>
      </c>
      <c r="E906" s="4" t="s">
        <v>1031</v>
      </c>
      <c r="F906" s="4" t="s">
        <v>1378</v>
      </c>
      <c r="G906" s="4" t="s">
        <v>47</v>
      </c>
      <c r="H906" s="4" t="s">
        <v>1031</v>
      </c>
      <c r="I906">
        <f t="shared" si="28"/>
        <v>6000</v>
      </c>
      <c r="J906" t="str">
        <f t="shared" si="29"/>
        <v>VERIFICAR</v>
      </c>
    </row>
    <row r="907" spans="1:10" ht="15" customHeight="1" x14ac:dyDescent="0.2">
      <c r="A907" s="3" t="s">
        <v>4294</v>
      </c>
      <c r="B907" s="3" t="s">
        <v>4295</v>
      </c>
      <c r="C907" s="3" t="s">
        <v>47</v>
      </c>
      <c r="D907" s="3" t="s">
        <v>4296</v>
      </c>
      <c r="E907" s="3" t="s">
        <v>47</v>
      </c>
      <c r="F907" s="3" t="s">
        <v>47</v>
      </c>
      <c r="G907" s="3" t="s">
        <v>47</v>
      </c>
      <c r="H907" s="3" t="s">
        <v>4296</v>
      </c>
      <c r="I907">
        <f t="shared" si="28"/>
        <v>2386.9</v>
      </c>
      <c r="J907" t="str">
        <f t="shared" si="29"/>
        <v>VERIFICAR</v>
      </c>
    </row>
    <row r="908" spans="1:10" ht="15" customHeight="1" x14ac:dyDescent="0.2">
      <c r="A908" s="4" t="s">
        <v>4297</v>
      </c>
      <c r="B908" s="4" t="s">
        <v>4298</v>
      </c>
      <c r="C908" s="4" t="s">
        <v>4299</v>
      </c>
      <c r="D908" s="4" t="s">
        <v>4300</v>
      </c>
      <c r="E908" s="4" t="s">
        <v>4301</v>
      </c>
      <c r="F908" s="4" t="s">
        <v>47</v>
      </c>
      <c r="G908" s="4" t="s">
        <v>47</v>
      </c>
      <c r="H908" s="4" t="s">
        <v>47</v>
      </c>
      <c r="I908">
        <f t="shared" si="28"/>
        <v>0</v>
      </c>
      <c r="J908" t="str">
        <f t="shared" si="29"/>
        <v>VERIFICAR</v>
      </c>
    </row>
    <row r="909" spans="1:10" ht="15" customHeight="1" x14ac:dyDescent="0.2">
      <c r="A909" s="3" t="s">
        <v>4302</v>
      </c>
      <c r="B909" s="3" t="s">
        <v>4303</v>
      </c>
      <c r="C909" s="3" t="s">
        <v>47</v>
      </c>
      <c r="D909" s="3" t="s">
        <v>4304</v>
      </c>
      <c r="E909" s="3" t="s">
        <v>47</v>
      </c>
      <c r="F909" s="3" t="s">
        <v>47</v>
      </c>
      <c r="G909" s="3" t="s">
        <v>47</v>
      </c>
      <c r="H909" s="3" t="s">
        <v>4304</v>
      </c>
      <c r="I909">
        <f t="shared" si="28"/>
        <v>319.41000000000003</v>
      </c>
      <c r="J909" t="str">
        <f t="shared" si="29"/>
        <v>VERIFICAR</v>
      </c>
    </row>
    <row r="910" spans="1:10" ht="15" customHeight="1" x14ac:dyDescent="0.2">
      <c r="A910" s="4" t="s">
        <v>4305</v>
      </c>
      <c r="B910" s="4" t="s">
        <v>4306</v>
      </c>
      <c r="C910" s="4" t="s">
        <v>47</v>
      </c>
      <c r="D910" s="4" t="s">
        <v>4307</v>
      </c>
      <c r="E910" s="4" t="s">
        <v>47</v>
      </c>
      <c r="F910" s="4" t="s">
        <v>47</v>
      </c>
      <c r="G910" s="4" t="s">
        <v>47</v>
      </c>
      <c r="H910" s="4" t="s">
        <v>4307</v>
      </c>
      <c r="I910">
        <f t="shared" si="28"/>
        <v>28.98</v>
      </c>
      <c r="J910" t="str">
        <f t="shared" si="29"/>
        <v>VERIFICAR</v>
      </c>
    </row>
    <row r="911" spans="1:10" ht="15" customHeight="1" x14ac:dyDescent="0.2">
      <c r="A911" s="3" t="s">
        <v>4308</v>
      </c>
      <c r="B911" s="3" t="s">
        <v>4309</v>
      </c>
      <c r="C911" s="3" t="s">
        <v>47</v>
      </c>
      <c r="D911" s="3" t="s">
        <v>4310</v>
      </c>
      <c r="E911" s="3" t="s">
        <v>47</v>
      </c>
      <c r="F911" s="3" t="s">
        <v>47</v>
      </c>
      <c r="G911" s="3" t="s">
        <v>47</v>
      </c>
      <c r="H911" s="3" t="s">
        <v>4310</v>
      </c>
      <c r="I911">
        <f t="shared" si="28"/>
        <v>32.619999999999997</v>
      </c>
      <c r="J911" t="str">
        <f t="shared" si="29"/>
        <v>VERIFICAR</v>
      </c>
    </row>
    <row r="912" spans="1:10" ht="15" customHeight="1" x14ac:dyDescent="0.2">
      <c r="A912" s="4" t="s">
        <v>4311</v>
      </c>
      <c r="B912" s="4" t="s">
        <v>4312</v>
      </c>
      <c r="C912" s="4" t="s">
        <v>47</v>
      </c>
      <c r="D912" s="4" t="s">
        <v>4313</v>
      </c>
      <c r="E912" s="4" t="s">
        <v>47</v>
      </c>
      <c r="F912" s="4" t="s">
        <v>47</v>
      </c>
      <c r="G912" s="4" t="s">
        <v>47</v>
      </c>
      <c r="H912" s="4" t="s">
        <v>4313</v>
      </c>
      <c r="I912">
        <f t="shared" si="28"/>
        <v>20.73</v>
      </c>
      <c r="J912" t="str">
        <f t="shared" si="29"/>
        <v>VERIFICAR</v>
      </c>
    </row>
    <row r="913" spans="1:10" ht="15" customHeight="1" x14ac:dyDescent="0.2">
      <c r="A913" s="3" t="s">
        <v>4314</v>
      </c>
      <c r="B913" s="3" t="s">
        <v>4315</v>
      </c>
      <c r="C913" s="3" t="s">
        <v>47</v>
      </c>
      <c r="D913" s="3" t="s">
        <v>4316</v>
      </c>
      <c r="E913" s="3" t="s">
        <v>47</v>
      </c>
      <c r="F913" s="3" t="s">
        <v>47</v>
      </c>
      <c r="G913" s="3" t="s">
        <v>47</v>
      </c>
      <c r="H913" s="3" t="s">
        <v>4316</v>
      </c>
      <c r="I913">
        <f t="shared" si="28"/>
        <v>196.27</v>
      </c>
      <c r="J913" t="str">
        <f t="shared" si="29"/>
        <v>VERIFICAR</v>
      </c>
    </row>
    <row r="914" spans="1:10" ht="15" customHeight="1" x14ac:dyDescent="0.2">
      <c r="A914" s="4" t="s">
        <v>4317</v>
      </c>
      <c r="B914" s="4" t="s">
        <v>4318</v>
      </c>
      <c r="C914" s="4" t="s">
        <v>47</v>
      </c>
      <c r="D914" s="4" t="s">
        <v>3592</v>
      </c>
      <c r="E914" s="4" t="s">
        <v>47</v>
      </c>
      <c r="F914" s="4" t="s">
        <v>47</v>
      </c>
      <c r="G914" s="4" t="s">
        <v>47</v>
      </c>
      <c r="H914" s="4" t="s">
        <v>3592</v>
      </c>
      <c r="I914">
        <f t="shared" si="28"/>
        <v>2000</v>
      </c>
      <c r="J914" t="str">
        <f t="shared" si="29"/>
        <v>VERIFICAR</v>
      </c>
    </row>
    <row r="915" spans="1:10" ht="15" customHeight="1" x14ac:dyDescent="0.2">
      <c r="A915" s="3" t="s">
        <v>4319</v>
      </c>
      <c r="B915" s="3" t="s">
        <v>4320</v>
      </c>
      <c r="C915" s="3" t="s">
        <v>47</v>
      </c>
      <c r="D915" s="3" t="s">
        <v>4321</v>
      </c>
      <c r="E915" s="3" t="s">
        <v>47</v>
      </c>
      <c r="F915" s="3" t="s">
        <v>47</v>
      </c>
      <c r="G915" s="3" t="s">
        <v>47</v>
      </c>
      <c r="H915" s="3" t="s">
        <v>4321</v>
      </c>
      <c r="I915">
        <f t="shared" si="28"/>
        <v>138.78</v>
      </c>
      <c r="J915" t="str">
        <f t="shared" si="29"/>
        <v>VERIFICAR</v>
      </c>
    </row>
    <row r="916" spans="1:10" ht="15" customHeight="1" x14ac:dyDescent="0.2">
      <c r="A916" s="4" t="s">
        <v>4322</v>
      </c>
      <c r="B916" s="4" t="s">
        <v>4323</v>
      </c>
      <c r="C916" s="4" t="s">
        <v>47</v>
      </c>
      <c r="D916" s="4" t="s">
        <v>4324</v>
      </c>
      <c r="E916" s="4" t="s">
        <v>47</v>
      </c>
      <c r="F916" s="4" t="s">
        <v>47</v>
      </c>
      <c r="G916" s="4" t="s">
        <v>47</v>
      </c>
      <c r="H916" s="4" t="s">
        <v>4324</v>
      </c>
      <c r="I916">
        <f t="shared" si="28"/>
        <v>97.61</v>
      </c>
      <c r="J916" t="str">
        <f t="shared" si="29"/>
        <v>VERIFICAR</v>
      </c>
    </row>
    <row r="917" spans="1:10" ht="15" customHeight="1" x14ac:dyDescent="0.2">
      <c r="A917" s="3" t="s">
        <v>4325</v>
      </c>
      <c r="B917" s="3" t="s">
        <v>4326</v>
      </c>
      <c r="C917" s="3" t="s">
        <v>47</v>
      </c>
      <c r="D917" s="3" t="s">
        <v>4327</v>
      </c>
      <c r="E917" s="3" t="s">
        <v>47</v>
      </c>
      <c r="F917" s="3" t="s">
        <v>47</v>
      </c>
      <c r="G917" s="3" t="s">
        <v>47</v>
      </c>
      <c r="H917" s="3" t="s">
        <v>4327</v>
      </c>
      <c r="I917">
        <f t="shared" si="28"/>
        <v>1008.87</v>
      </c>
      <c r="J917" t="str">
        <f t="shared" si="29"/>
        <v>VERIFICAR</v>
      </c>
    </row>
    <row r="918" spans="1:10" ht="15" customHeight="1" x14ac:dyDescent="0.2">
      <c r="A918" s="4" t="s">
        <v>4328</v>
      </c>
      <c r="B918" s="4" t="s">
        <v>4329</v>
      </c>
      <c r="C918" s="4" t="s">
        <v>47</v>
      </c>
      <c r="D918" s="4" t="s">
        <v>4330</v>
      </c>
      <c r="E918" s="4" t="s">
        <v>47</v>
      </c>
      <c r="F918" s="4" t="s">
        <v>47</v>
      </c>
      <c r="G918" s="4" t="s">
        <v>47</v>
      </c>
      <c r="H918" s="4" t="s">
        <v>4330</v>
      </c>
      <c r="I918">
        <f t="shared" si="28"/>
        <v>19</v>
      </c>
      <c r="J918" t="str">
        <f t="shared" si="29"/>
        <v>VERIFICAR</v>
      </c>
    </row>
    <row r="919" spans="1:10" ht="15" customHeight="1" x14ac:dyDescent="0.2">
      <c r="A919" s="3" t="s">
        <v>4331</v>
      </c>
      <c r="B919" s="3" t="s">
        <v>4332</v>
      </c>
      <c r="C919" s="3" t="s">
        <v>4333</v>
      </c>
      <c r="D919" s="3" t="s">
        <v>4333</v>
      </c>
      <c r="E919" s="3" t="s">
        <v>4334</v>
      </c>
      <c r="F919" s="3" t="s">
        <v>4334</v>
      </c>
      <c r="G919" s="3" t="s">
        <v>47</v>
      </c>
      <c r="H919" s="3" t="s">
        <v>47</v>
      </c>
      <c r="I919">
        <f t="shared" si="28"/>
        <v>0</v>
      </c>
      <c r="J919" t="str">
        <f t="shared" si="29"/>
        <v>VERIFICAR</v>
      </c>
    </row>
    <row r="920" spans="1:10" ht="15" customHeight="1" x14ac:dyDescent="0.2">
      <c r="A920" s="4" t="s">
        <v>4335</v>
      </c>
      <c r="B920" s="4" t="s">
        <v>4336</v>
      </c>
      <c r="C920" s="4" t="s">
        <v>47</v>
      </c>
      <c r="D920" s="4" t="s">
        <v>4337</v>
      </c>
      <c r="E920" s="4" t="s">
        <v>47</v>
      </c>
      <c r="F920" s="4" t="s">
        <v>47</v>
      </c>
      <c r="G920" s="4" t="s">
        <v>47</v>
      </c>
      <c r="H920" s="4" t="s">
        <v>4337</v>
      </c>
      <c r="I920">
        <f t="shared" si="28"/>
        <v>47</v>
      </c>
      <c r="J920" t="str">
        <f t="shared" si="29"/>
        <v>VERIFICAR</v>
      </c>
    </row>
    <row r="921" spans="1:10" ht="15" customHeight="1" x14ac:dyDescent="0.2">
      <c r="A921" s="3" t="s">
        <v>4338</v>
      </c>
      <c r="B921" s="3" t="s">
        <v>4339</v>
      </c>
      <c r="C921" s="3" t="s">
        <v>4340</v>
      </c>
      <c r="D921" s="3" t="s">
        <v>4341</v>
      </c>
      <c r="E921" s="3" t="s">
        <v>4342</v>
      </c>
      <c r="F921" s="3" t="s">
        <v>4343</v>
      </c>
      <c r="G921" s="3" t="s">
        <v>47</v>
      </c>
      <c r="H921" s="3" t="s">
        <v>4344</v>
      </c>
      <c r="I921">
        <f t="shared" si="28"/>
        <v>5332.04</v>
      </c>
      <c r="J921" t="str">
        <f t="shared" si="29"/>
        <v>VERIFICAR</v>
      </c>
    </row>
    <row r="922" spans="1:10" ht="15" customHeight="1" x14ac:dyDescent="0.2">
      <c r="A922" s="4" t="s">
        <v>4345</v>
      </c>
      <c r="B922" s="4" t="s">
        <v>4346</v>
      </c>
      <c r="C922" s="4" t="s">
        <v>47</v>
      </c>
      <c r="D922" s="4" t="s">
        <v>4347</v>
      </c>
      <c r="E922" s="4" t="s">
        <v>47</v>
      </c>
      <c r="F922" s="4" t="s">
        <v>47</v>
      </c>
      <c r="G922" s="4" t="s">
        <v>47</v>
      </c>
      <c r="H922" s="4" t="s">
        <v>4347</v>
      </c>
      <c r="I922">
        <f t="shared" si="28"/>
        <v>164.89</v>
      </c>
      <c r="J922" t="str">
        <f t="shared" si="29"/>
        <v>VERIFICAR</v>
      </c>
    </row>
    <row r="923" spans="1:10" ht="15" customHeight="1" x14ac:dyDescent="0.2">
      <c r="A923" s="3" t="s">
        <v>4348</v>
      </c>
      <c r="B923" s="3" t="s">
        <v>4349</v>
      </c>
      <c r="C923" s="3" t="s">
        <v>47</v>
      </c>
      <c r="D923" s="3" t="s">
        <v>4350</v>
      </c>
      <c r="E923" s="3" t="s">
        <v>47</v>
      </c>
      <c r="F923" s="3" t="s">
        <v>47</v>
      </c>
      <c r="G923" s="3" t="s">
        <v>47</v>
      </c>
      <c r="H923" s="3" t="s">
        <v>4350</v>
      </c>
      <c r="I923">
        <f t="shared" si="28"/>
        <v>95.8</v>
      </c>
      <c r="J923" t="str">
        <f t="shared" si="29"/>
        <v>VERIFICAR</v>
      </c>
    </row>
    <row r="924" spans="1:10" ht="15" customHeight="1" x14ac:dyDescent="0.2">
      <c r="A924" s="4" t="s">
        <v>4351</v>
      </c>
      <c r="B924" s="4" t="s">
        <v>4352</v>
      </c>
      <c r="C924" s="4" t="s">
        <v>47</v>
      </c>
      <c r="D924" s="4" t="s">
        <v>4353</v>
      </c>
      <c r="E924" s="4" t="s">
        <v>47</v>
      </c>
      <c r="F924" s="4" t="s">
        <v>47</v>
      </c>
      <c r="G924" s="4" t="s">
        <v>47</v>
      </c>
      <c r="H924" s="4" t="s">
        <v>4353</v>
      </c>
      <c r="I924">
        <f t="shared" si="28"/>
        <v>48.99</v>
      </c>
      <c r="J924" t="str">
        <f t="shared" si="29"/>
        <v>VERIFICAR</v>
      </c>
    </row>
    <row r="925" spans="1:10" ht="15" customHeight="1" x14ac:dyDescent="0.2">
      <c r="A925" s="3" t="s">
        <v>4354</v>
      </c>
      <c r="B925" s="3" t="s">
        <v>4355</v>
      </c>
      <c r="C925" s="3" t="s">
        <v>4356</v>
      </c>
      <c r="D925" s="3" t="s">
        <v>4357</v>
      </c>
      <c r="E925" s="3" t="s">
        <v>4358</v>
      </c>
      <c r="F925" s="3" t="s">
        <v>47</v>
      </c>
      <c r="G925" s="3" t="s">
        <v>47</v>
      </c>
      <c r="H925" s="3" t="s">
        <v>4359</v>
      </c>
      <c r="I925">
        <f t="shared" si="28"/>
        <v>2531.29</v>
      </c>
      <c r="J925" t="str">
        <f t="shared" si="29"/>
        <v>VERIFICAR</v>
      </c>
    </row>
    <row r="926" spans="1:10" ht="15" customHeight="1" x14ac:dyDescent="0.2">
      <c r="A926" s="4" t="s">
        <v>4360</v>
      </c>
      <c r="B926" s="4" t="s">
        <v>4361</v>
      </c>
      <c r="C926" s="4" t="s">
        <v>4362</v>
      </c>
      <c r="D926" s="4" t="s">
        <v>4363</v>
      </c>
      <c r="E926" s="4" t="s">
        <v>4364</v>
      </c>
      <c r="F926" s="4" t="s">
        <v>4365</v>
      </c>
      <c r="G926" s="4" t="s">
        <v>47</v>
      </c>
      <c r="H926" s="4" t="s">
        <v>4365</v>
      </c>
      <c r="I926">
        <f t="shared" si="28"/>
        <v>1955.81</v>
      </c>
      <c r="J926" t="str">
        <f t="shared" si="29"/>
        <v>VERIFICAR</v>
      </c>
    </row>
    <row r="927" spans="1:10" ht="15" customHeight="1" x14ac:dyDescent="0.2">
      <c r="A927" s="3" t="s">
        <v>4366</v>
      </c>
      <c r="B927" s="3" t="s">
        <v>4367</v>
      </c>
      <c r="C927" s="3" t="s">
        <v>4368</v>
      </c>
      <c r="D927" s="3" t="s">
        <v>4368</v>
      </c>
      <c r="E927" s="3" t="s">
        <v>4369</v>
      </c>
      <c r="F927" s="3" t="s">
        <v>4370</v>
      </c>
      <c r="G927" s="3" t="s">
        <v>47</v>
      </c>
      <c r="H927" s="3" t="s">
        <v>915</v>
      </c>
      <c r="I927">
        <f t="shared" si="28"/>
        <v>200</v>
      </c>
      <c r="J927" t="str">
        <f t="shared" si="29"/>
        <v>VERIFICAR</v>
      </c>
    </row>
    <row r="928" spans="1:10" ht="15" customHeight="1" x14ac:dyDescent="0.2">
      <c r="A928" s="4" t="s">
        <v>4371</v>
      </c>
      <c r="B928" s="4" t="s">
        <v>4372</v>
      </c>
      <c r="C928" s="4" t="s">
        <v>4373</v>
      </c>
      <c r="D928" s="4" t="s">
        <v>4374</v>
      </c>
      <c r="E928" s="4" t="s">
        <v>4375</v>
      </c>
      <c r="F928" s="4" t="s">
        <v>47</v>
      </c>
      <c r="G928" s="4" t="s">
        <v>47</v>
      </c>
      <c r="H928" s="4" t="s">
        <v>4376</v>
      </c>
      <c r="I928">
        <f t="shared" si="28"/>
        <v>9804.9500000000007</v>
      </c>
      <c r="J928" t="str">
        <f t="shared" si="29"/>
        <v>VERIFICAR</v>
      </c>
    </row>
    <row r="929" spans="1:10" ht="15" customHeight="1" x14ac:dyDescent="0.2">
      <c r="A929" s="3" t="s">
        <v>4377</v>
      </c>
      <c r="B929" s="3" t="s">
        <v>4378</v>
      </c>
      <c r="C929" s="3" t="s">
        <v>4379</v>
      </c>
      <c r="D929" s="3" t="s">
        <v>4380</v>
      </c>
      <c r="E929" s="3" t="s">
        <v>47</v>
      </c>
      <c r="F929" s="3" t="s">
        <v>4381</v>
      </c>
      <c r="G929" s="3" t="s">
        <v>47</v>
      </c>
      <c r="H929" s="3" t="s">
        <v>4382</v>
      </c>
      <c r="I929">
        <f t="shared" si="28"/>
        <v>624.92999999999995</v>
      </c>
      <c r="J929" t="str">
        <f t="shared" si="29"/>
        <v>VERIFICAR</v>
      </c>
    </row>
    <row r="930" spans="1:10" ht="15" customHeight="1" x14ac:dyDescent="0.2">
      <c r="A930" s="4" t="s">
        <v>4383</v>
      </c>
      <c r="B930" s="4" t="s">
        <v>4384</v>
      </c>
      <c r="C930" s="4" t="s">
        <v>1454</v>
      </c>
      <c r="D930" s="4" t="s">
        <v>1454</v>
      </c>
      <c r="E930" s="4" t="s">
        <v>659</v>
      </c>
      <c r="F930" s="4" t="s">
        <v>659</v>
      </c>
      <c r="G930" s="4" t="s">
        <v>47</v>
      </c>
      <c r="H930" s="4" t="s">
        <v>47</v>
      </c>
      <c r="I930">
        <f t="shared" si="28"/>
        <v>0</v>
      </c>
      <c r="J930" t="str">
        <f t="shared" si="29"/>
        <v>VERIFICAR</v>
      </c>
    </row>
    <row r="931" spans="1:10" ht="15" customHeight="1" x14ac:dyDescent="0.2">
      <c r="A931" s="3" t="s">
        <v>4385</v>
      </c>
      <c r="B931" s="3" t="s">
        <v>4386</v>
      </c>
      <c r="C931" s="3" t="s">
        <v>4387</v>
      </c>
      <c r="D931" s="3" t="s">
        <v>4388</v>
      </c>
      <c r="E931" s="3" t="s">
        <v>47</v>
      </c>
      <c r="F931" s="3" t="s">
        <v>47</v>
      </c>
      <c r="G931" s="3" t="s">
        <v>47</v>
      </c>
      <c r="H931" s="3" t="s">
        <v>4389</v>
      </c>
      <c r="I931">
        <f t="shared" si="28"/>
        <v>229</v>
      </c>
      <c r="J931" t="str">
        <f t="shared" si="29"/>
        <v>VERIFICAR</v>
      </c>
    </row>
    <row r="932" spans="1:10" ht="15" customHeight="1" x14ac:dyDescent="0.2">
      <c r="A932" s="4" t="s">
        <v>4390</v>
      </c>
      <c r="B932" s="4" t="s">
        <v>4391</v>
      </c>
      <c r="C932" s="4" t="s">
        <v>47</v>
      </c>
      <c r="D932" s="4" t="s">
        <v>4392</v>
      </c>
      <c r="E932" s="4" t="s">
        <v>47</v>
      </c>
      <c r="F932" s="4" t="s">
        <v>47</v>
      </c>
      <c r="G932" s="4" t="s">
        <v>47</v>
      </c>
      <c r="H932" s="4" t="s">
        <v>4392</v>
      </c>
      <c r="I932">
        <f t="shared" si="28"/>
        <v>44.62</v>
      </c>
      <c r="J932" t="str">
        <f t="shared" si="29"/>
        <v>VERIFICAR</v>
      </c>
    </row>
    <row r="933" spans="1:10" ht="15" customHeight="1" x14ac:dyDescent="0.2">
      <c r="A933" s="3" t="s">
        <v>4393</v>
      </c>
      <c r="B933" s="3" t="s">
        <v>4394</v>
      </c>
      <c r="C933" s="3" t="s">
        <v>47</v>
      </c>
      <c r="D933" s="3" t="s">
        <v>2164</v>
      </c>
      <c r="E933" s="3" t="s">
        <v>47</v>
      </c>
      <c r="F933" s="3" t="s">
        <v>47</v>
      </c>
      <c r="G933" s="3" t="s">
        <v>47</v>
      </c>
      <c r="H933" s="3" t="s">
        <v>2164</v>
      </c>
      <c r="I933">
        <f t="shared" si="28"/>
        <v>20</v>
      </c>
      <c r="J933" t="str">
        <f t="shared" si="29"/>
        <v>VERIFICAR</v>
      </c>
    </row>
    <row r="934" spans="1:10" ht="15" customHeight="1" x14ac:dyDescent="0.2">
      <c r="A934" s="4" t="s">
        <v>4395</v>
      </c>
      <c r="B934" s="4" t="s">
        <v>4396</v>
      </c>
      <c r="C934" s="4" t="s">
        <v>4397</v>
      </c>
      <c r="D934" s="4" t="s">
        <v>4397</v>
      </c>
      <c r="E934" s="4" t="s">
        <v>639</v>
      </c>
      <c r="F934" s="4" t="s">
        <v>639</v>
      </c>
      <c r="G934" s="4" t="s">
        <v>47</v>
      </c>
      <c r="H934" s="4" t="s">
        <v>47</v>
      </c>
      <c r="I934">
        <f t="shared" si="28"/>
        <v>0</v>
      </c>
      <c r="J934" t="str">
        <f t="shared" si="29"/>
        <v>VERIFICAR</v>
      </c>
    </row>
    <row r="935" spans="1:10" ht="15" customHeight="1" x14ac:dyDescent="0.2">
      <c r="A935" s="3" t="s">
        <v>4398</v>
      </c>
      <c r="B935" s="3" t="s">
        <v>4399</v>
      </c>
      <c r="C935" s="3" t="s">
        <v>47</v>
      </c>
      <c r="D935" s="3" t="s">
        <v>4400</v>
      </c>
      <c r="E935" s="3" t="s">
        <v>47</v>
      </c>
      <c r="F935" s="3" t="s">
        <v>47</v>
      </c>
      <c r="G935" s="3" t="s">
        <v>47</v>
      </c>
      <c r="H935" s="3" t="s">
        <v>4400</v>
      </c>
      <c r="I935">
        <f t="shared" si="28"/>
        <v>78.790000000000006</v>
      </c>
      <c r="J935" t="str">
        <f t="shared" si="29"/>
        <v>VERIFICAR</v>
      </c>
    </row>
    <row r="936" spans="1:10" ht="15" customHeight="1" x14ac:dyDescent="0.2">
      <c r="A936" s="4" t="s">
        <v>4401</v>
      </c>
      <c r="B936" s="4" t="s">
        <v>4402</v>
      </c>
      <c r="C936" s="4" t="s">
        <v>47</v>
      </c>
      <c r="D936" s="4" t="s">
        <v>4403</v>
      </c>
      <c r="E936" s="4" t="s">
        <v>47</v>
      </c>
      <c r="F936" s="4" t="s">
        <v>47</v>
      </c>
      <c r="G936" s="4" t="s">
        <v>47</v>
      </c>
      <c r="H936" s="4" t="s">
        <v>4403</v>
      </c>
      <c r="I936">
        <f t="shared" si="28"/>
        <v>676</v>
      </c>
      <c r="J936" t="str">
        <f t="shared" si="29"/>
        <v>VERIFICAR</v>
      </c>
    </row>
    <row r="937" spans="1:10" ht="15" customHeight="1" x14ac:dyDescent="0.2">
      <c r="A937" s="3" t="s">
        <v>4404</v>
      </c>
      <c r="B937" s="3" t="s">
        <v>4405</v>
      </c>
      <c r="C937" s="3" t="s">
        <v>47</v>
      </c>
      <c r="D937" s="3" t="s">
        <v>4406</v>
      </c>
      <c r="E937" s="3" t="s">
        <v>47</v>
      </c>
      <c r="F937" s="3" t="s">
        <v>47</v>
      </c>
      <c r="G937" s="3" t="s">
        <v>47</v>
      </c>
      <c r="H937" s="3" t="s">
        <v>4406</v>
      </c>
      <c r="I937">
        <f t="shared" si="28"/>
        <v>1478.96</v>
      </c>
      <c r="J937" t="str">
        <f t="shared" si="29"/>
        <v>VERIFICAR</v>
      </c>
    </row>
    <row r="938" spans="1:10" ht="15" customHeight="1" x14ac:dyDescent="0.2">
      <c r="A938" s="4" t="s">
        <v>4407</v>
      </c>
      <c r="B938" s="4" t="s">
        <v>4408</v>
      </c>
      <c r="C938" s="4" t="s">
        <v>47</v>
      </c>
      <c r="D938" s="4" t="s">
        <v>4409</v>
      </c>
      <c r="E938" s="4" t="s">
        <v>47</v>
      </c>
      <c r="F938" s="4" t="s">
        <v>47</v>
      </c>
      <c r="G938" s="4" t="s">
        <v>47</v>
      </c>
      <c r="H938" s="4" t="s">
        <v>4409</v>
      </c>
      <c r="I938">
        <f t="shared" si="28"/>
        <v>1849.31</v>
      </c>
      <c r="J938" t="str">
        <f t="shared" si="29"/>
        <v>VERIFICAR</v>
      </c>
    </row>
    <row r="939" spans="1:10" ht="15" customHeight="1" x14ac:dyDescent="0.2">
      <c r="A939" s="3" t="s">
        <v>4410</v>
      </c>
      <c r="B939" s="3" t="s">
        <v>4411</v>
      </c>
      <c r="C939" s="3" t="s">
        <v>47</v>
      </c>
      <c r="D939" s="3" t="s">
        <v>4230</v>
      </c>
      <c r="E939" s="3" t="s">
        <v>47</v>
      </c>
      <c r="F939" s="3" t="s">
        <v>47</v>
      </c>
      <c r="G939" s="3" t="s">
        <v>47</v>
      </c>
      <c r="H939" s="3" t="s">
        <v>4230</v>
      </c>
      <c r="I939">
        <f t="shared" si="28"/>
        <v>38</v>
      </c>
      <c r="J939" t="str">
        <f t="shared" si="29"/>
        <v>VERIFICAR</v>
      </c>
    </row>
    <row r="940" spans="1:10" ht="15" customHeight="1" x14ac:dyDescent="0.2">
      <c r="A940" s="4" t="s">
        <v>4412</v>
      </c>
      <c r="B940" s="4" t="s">
        <v>4413</v>
      </c>
      <c r="C940" s="4" t="s">
        <v>47</v>
      </c>
      <c r="D940" s="4" t="s">
        <v>3967</v>
      </c>
      <c r="E940" s="4" t="s">
        <v>47</v>
      </c>
      <c r="F940" s="4" t="s">
        <v>47</v>
      </c>
      <c r="G940" s="4" t="s">
        <v>47</v>
      </c>
      <c r="H940" s="4" t="s">
        <v>3967</v>
      </c>
      <c r="I940">
        <f t="shared" si="28"/>
        <v>49.9</v>
      </c>
      <c r="J940" t="str">
        <f t="shared" si="29"/>
        <v>VERIFICAR</v>
      </c>
    </row>
    <row r="941" spans="1:10" ht="15" customHeight="1" x14ac:dyDescent="0.2">
      <c r="A941" s="3" t="s">
        <v>4414</v>
      </c>
      <c r="B941" s="3" t="s">
        <v>4415</v>
      </c>
      <c r="C941" s="3" t="s">
        <v>47</v>
      </c>
      <c r="D941" s="3" t="s">
        <v>4416</v>
      </c>
      <c r="E941" s="3" t="s">
        <v>47</v>
      </c>
      <c r="F941" s="3" t="s">
        <v>47</v>
      </c>
      <c r="G941" s="3" t="s">
        <v>47</v>
      </c>
      <c r="H941" s="3" t="s">
        <v>4416</v>
      </c>
      <c r="I941">
        <f t="shared" si="28"/>
        <v>279.91000000000003</v>
      </c>
      <c r="J941" t="str">
        <f t="shared" si="29"/>
        <v>VERIFICAR</v>
      </c>
    </row>
    <row r="942" spans="1:10" ht="15" customHeight="1" x14ac:dyDescent="0.2">
      <c r="A942" s="4" t="s">
        <v>4417</v>
      </c>
      <c r="B942" s="4" t="s">
        <v>4418</v>
      </c>
      <c r="C942" s="4" t="s">
        <v>47</v>
      </c>
      <c r="D942" s="4" t="s">
        <v>4419</v>
      </c>
      <c r="E942" s="4" t="s">
        <v>47</v>
      </c>
      <c r="F942" s="4" t="s">
        <v>47</v>
      </c>
      <c r="G942" s="4" t="s">
        <v>47</v>
      </c>
      <c r="H942" s="4" t="s">
        <v>4419</v>
      </c>
      <c r="I942">
        <f t="shared" si="28"/>
        <v>244.8</v>
      </c>
      <c r="J942" t="str">
        <f t="shared" si="29"/>
        <v>VERIFICAR</v>
      </c>
    </row>
    <row r="943" spans="1:10" ht="15" customHeight="1" x14ac:dyDescent="0.2">
      <c r="A943" s="3" t="s">
        <v>4420</v>
      </c>
      <c r="B943" s="3" t="s">
        <v>1925</v>
      </c>
      <c r="C943" s="3" t="s">
        <v>4421</v>
      </c>
      <c r="D943" s="3" t="s">
        <v>944</v>
      </c>
      <c r="E943" s="3" t="s">
        <v>4421</v>
      </c>
      <c r="F943" s="3" t="s">
        <v>47</v>
      </c>
      <c r="G943" s="3" t="s">
        <v>47</v>
      </c>
      <c r="H943" s="3" t="s">
        <v>4422</v>
      </c>
      <c r="I943">
        <f t="shared" si="28"/>
        <v>866.66</v>
      </c>
      <c r="J943" t="str">
        <f t="shared" si="29"/>
        <v>VERIFICAR</v>
      </c>
    </row>
    <row r="944" spans="1:10" ht="15" customHeight="1" x14ac:dyDescent="0.2">
      <c r="A944" s="4" t="s">
        <v>4423</v>
      </c>
      <c r="B944" s="4" t="s">
        <v>4424</v>
      </c>
      <c r="C944" s="4" t="s">
        <v>47</v>
      </c>
      <c r="D944" s="4" t="s">
        <v>4425</v>
      </c>
      <c r="E944" s="4" t="s">
        <v>47</v>
      </c>
      <c r="F944" s="4" t="s">
        <v>47</v>
      </c>
      <c r="G944" s="4" t="s">
        <v>47</v>
      </c>
      <c r="H944" s="4" t="s">
        <v>4425</v>
      </c>
      <c r="I944">
        <f t="shared" si="28"/>
        <v>249.9</v>
      </c>
      <c r="J944" t="str">
        <f t="shared" si="29"/>
        <v>VERIFICAR</v>
      </c>
    </row>
    <row r="945" spans="1:10" ht="15" customHeight="1" x14ac:dyDescent="0.2">
      <c r="A945" s="3" t="s">
        <v>4426</v>
      </c>
      <c r="B945" s="3" t="s">
        <v>4427</v>
      </c>
      <c r="C945" s="3" t="s">
        <v>47</v>
      </c>
      <c r="D945" s="3" t="s">
        <v>4428</v>
      </c>
      <c r="E945" s="3" t="s">
        <v>47</v>
      </c>
      <c r="F945" s="3" t="s">
        <v>4429</v>
      </c>
      <c r="G945" s="3" t="s">
        <v>47</v>
      </c>
      <c r="H945" s="3" t="s">
        <v>4430</v>
      </c>
      <c r="I945">
        <f t="shared" si="28"/>
        <v>32.25</v>
      </c>
      <c r="J945" t="str">
        <f t="shared" si="29"/>
        <v>VERIFICAR</v>
      </c>
    </row>
    <row r="946" spans="1:10" ht="15" customHeight="1" x14ac:dyDescent="0.2">
      <c r="A946" s="4" t="s">
        <v>4431</v>
      </c>
      <c r="B946" s="4" t="s">
        <v>4432</v>
      </c>
      <c r="C946" s="4" t="s">
        <v>4433</v>
      </c>
      <c r="D946" s="4" t="s">
        <v>4434</v>
      </c>
      <c r="E946" s="4" t="s">
        <v>4433</v>
      </c>
      <c r="F946" s="4" t="s">
        <v>47</v>
      </c>
      <c r="G946" s="4" t="s">
        <v>47</v>
      </c>
      <c r="H946" s="4" t="s">
        <v>4435</v>
      </c>
      <c r="I946">
        <f t="shared" si="28"/>
        <v>6018.96</v>
      </c>
      <c r="J946" t="str">
        <f t="shared" si="29"/>
        <v>VERIFICAR</v>
      </c>
    </row>
    <row r="947" spans="1:10" ht="15" customHeight="1" x14ac:dyDescent="0.2">
      <c r="A947" s="3" t="s">
        <v>4436</v>
      </c>
      <c r="B947" s="3" t="s">
        <v>4437</v>
      </c>
      <c r="C947" s="3" t="s">
        <v>47</v>
      </c>
      <c r="D947" s="3" t="s">
        <v>4392</v>
      </c>
      <c r="E947" s="3" t="s">
        <v>47</v>
      </c>
      <c r="F947" s="3" t="s">
        <v>47</v>
      </c>
      <c r="G947" s="3" t="s">
        <v>47</v>
      </c>
      <c r="H947" s="3" t="s">
        <v>4392</v>
      </c>
      <c r="I947">
        <f t="shared" si="28"/>
        <v>44.62</v>
      </c>
      <c r="J947" t="str">
        <f t="shared" si="29"/>
        <v>VERIFICAR</v>
      </c>
    </row>
    <row r="948" spans="1:10" ht="15" customHeight="1" x14ac:dyDescent="0.2">
      <c r="A948" s="4" t="s">
        <v>4438</v>
      </c>
      <c r="B948" s="4" t="s">
        <v>4439</v>
      </c>
      <c r="C948" s="4" t="s">
        <v>4440</v>
      </c>
      <c r="D948" s="4" t="s">
        <v>4441</v>
      </c>
      <c r="E948" s="4" t="s">
        <v>4442</v>
      </c>
      <c r="F948" s="4" t="s">
        <v>4442</v>
      </c>
      <c r="G948" s="4" t="s">
        <v>47</v>
      </c>
      <c r="H948" s="4" t="s">
        <v>4442</v>
      </c>
      <c r="I948">
        <f t="shared" si="28"/>
        <v>1383.97</v>
      </c>
      <c r="J948" t="str">
        <f t="shared" si="29"/>
        <v>VERIFICAR</v>
      </c>
    </row>
    <row r="949" spans="1:10" ht="15" customHeight="1" x14ac:dyDescent="0.2">
      <c r="A949" s="3" t="s">
        <v>4443</v>
      </c>
      <c r="B949" s="3" t="s">
        <v>4444</v>
      </c>
      <c r="C949" s="3" t="s">
        <v>4445</v>
      </c>
      <c r="D949" s="3" t="s">
        <v>4446</v>
      </c>
      <c r="E949" s="3" t="s">
        <v>4447</v>
      </c>
      <c r="F949" s="3" t="s">
        <v>4448</v>
      </c>
      <c r="G949" s="3" t="s">
        <v>47</v>
      </c>
      <c r="H949" s="3" t="s">
        <v>4449</v>
      </c>
      <c r="I949">
        <f t="shared" si="28"/>
        <v>8087.7</v>
      </c>
      <c r="J949" t="str">
        <f t="shared" si="29"/>
        <v>VERIFICAR</v>
      </c>
    </row>
    <row r="950" spans="1:10" ht="15" customHeight="1" x14ac:dyDescent="0.2">
      <c r="A950" s="4" t="s">
        <v>4450</v>
      </c>
      <c r="B950" s="4" t="s">
        <v>4451</v>
      </c>
      <c r="C950" s="4" t="s">
        <v>4452</v>
      </c>
      <c r="D950" s="4" t="s">
        <v>4453</v>
      </c>
      <c r="E950" s="4" t="s">
        <v>47</v>
      </c>
      <c r="F950" s="4" t="s">
        <v>47</v>
      </c>
      <c r="G950" s="4" t="s">
        <v>47</v>
      </c>
      <c r="H950" s="4" t="s">
        <v>394</v>
      </c>
      <c r="I950">
        <f t="shared" si="28"/>
        <v>0.01</v>
      </c>
      <c r="J950" t="str">
        <f t="shared" si="29"/>
        <v>VERIFICAR</v>
      </c>
    </row>
    <row r="951" spans="1:10" ht="15" customHeight="1" x14ac:dyDescent="0.2">
      <c r="A951" s="3" t="s">
        <v>4454</v>
      </c>
      <c r="B951" s="3" t="s">
        <v>4455</v>
      </c>
      <c r="C951" s="3" t="s">
        <v>4456</v>
      </c>
      <c r="D951" s="3" t="s">
        <v>4456</v>
      </c>
      <c r="E951" s="3" t="s">
        <v>4457</v>
      </c>
      <c r="F951" s="3" t="s">
        <v>4457</v>
      </c>
      <c r="G951" s="3" t="s">
        <v>47</v>
      </c>
      <c r="H951" s="3" t="s">
        <v>47</v>
      </c>
      <c r="I951">
        <f t="shared" si="28"/>
        <v>0</v>
      </c>
      <c r="J951" t="str">
        <f t="shared" si="29"/>
        <v>VERIFICAR</v>
      </c>
    </row>
    <row r="952" spans="1:10" ht="15" customHeight="1" x14ac:dyDescent="0.2">
      <c r="A952" s="4" t="s">
        <v>4458</v>
      </c>
      <c r="B952" s="4" t="s">
        <v>4459</v>
      </c>
      <c r="C952" s="4" t="s">
        <v>47</v>
      </c>
      <c r="D952" s="4" t="s">
        <v>4460</v>
      </c>
      <c r="E952" s="4" t="s">
        <v>47</v>
      </c>
      <c r="F952" s="4" t="s">
        <v>4461</v>
      </c>
      <c r="G952" s="4" t="s">
        <v>47</v>
      </c>
      <c r="H952" s="4" t="s">
        <v>4462</v>
      </c>
      <c r="I952">
        <f t="shared" si="28"/>
        <v>122.84</v>
      </c>
      <c r="J952" t="str">
        <f t="shared" si="29"/>
        <v>VERIFICAR</v>
      </c>
    </row>
    <row r="953" spans="1:10" ht="15" customHeight="1" x14ac:dyDescent="0.2">
      <c r="A953" s="3" t="s">
        <v>4463</v>
      </c>
      <c r="B953" s="3" t="s">
        <v>4464</v>
      </c>
      <c r="C953" s="3" t="s">
        <v>47</v>
      </c>
      <c r="D953" s="3" t="s">
        <v>915</v>
      </c>
      <c r="E953" s="3" t="s">
        <v>47</v>
      </c>
      <c r="F953" s="3" t="s">
        <v>47</v>
      </c>
      <c r="G953" s="3" t="s">
        <v>47</v>
      </c>
      <c r="H953" s="3" t="s">
        <v>915</v>
      </c>
      <c r="I953">
        <f t="shared" si="28"/>
        <v>200</v>
      </c>
      <c r="J953" t="str">
        <f t="shared" si="29"/>
        <v>VERIFICAR</v>
      </c>
    </row>
    <row r="954" spans="1:10" ht="15" customHeight="1" x14ac:dyDescent="0.2">
      <c r="A954" s="4" t="s">
        <v>4465</v>
      </c>
      <c r="B954" s="4" t="s">
        <v>4466</v>
      </c>
      <c r="C954" s="4" t="s">
        <v>47</v>
      </c>
      <c r="D954" s="4" t="s">
        <v>4467</v>
      </c>
      <c r="E954" s="4" t="s">
        <v>47</v>
      </c>
      <c r="F954" s="4" t="s">
        <v>47</v>
      </c>
      <c r="G954" s="4" t="s">
        <v>47</v>
      </c>
      <c r="H954" s="4" t="s">
        <v>4467</v>
      </c>
      <c r="I954">
        <f t="shared" si="28"/>
        <v>58.99</v>
      </c>
      <c r="J954" t="str">
        <f t="shared" si="29"/>
        <v>VERIFICAR</v>
      </c>
    </row>
    <row r="955" spans="1:10" ht="15" customHeight="1" x14ac:dyDescent="0.2">
      <c r="A955" s="3" t="s">
        <v>4468</v>
      </c>
      <c r="B955" s="3" t="s">
        <v>4469</v>
      </c>
      <c r="C955" s="3" t="s">
        <v>47</v>
      </c>
      <c r="D955" s="3" t="s">
        <v>4470</v>
      </c>
      <c r="E955" s="3" t="s">
        <v>47</v>
      </c>
      <c r="F955" s="3" t="s">
        <v>47</v>
      </c>
      <c r="G955" s="3" t="s">
        <v>47</v>
      </c>
      <c r="H955" s="3" t="s">
        <v>4470</v>
      </c>
      <c r="I955">
        <f t="shared" si="28"/>
        <v>160.46</v>
      </c>
      <c r="J955" t="str">
        <f t="shared" si="29"/>
        <v>VERIFICAR</v>
      </c>
    </row>
    <row r="956" spans="1:10" ht="15" customHeight="1" x14ac:dyDescent="0.2">
      <c r="A956" s="4" t="s">
        <v>4471</v>
      </c>
      <c r="B956" s="4" t="s">
        <v>4472</v>
      </c>
      <c r="C956" s="4" t="s">
        <v>47</v>
      </c>
      <c r="D956" s="4" t="s">
        <v>4473</v>
      </c>
      <c r="E956" s="4" t="s">
        <v>4473</v>
      </c>
      <c r="F956" s="4" t="s">
        <v>47</v>
      </c>
      <c r="G956" s="4" t="s">
        <v>47</v>
      </c>
      <c r="H956" s="4" t="s">
        <v>47</v>
      </c>
      <c r="I956">
        <f t="shared" si="28"/>
        <v>0</v>
      </c>
      <c r="J956" t="str">
        <f t="shared" si="29"/>
        <v>VERIFICAR</v>
      </c>
    </row>
    <row r="957" spans="1:10" ht="15" customHeight="1" x14ac:dyDescent="0.2">
      <c r="A957" s="3" t="s">
        <v>4474</v>
      </c>
      <c r="B957" s="3" t="s">
        <v>4475</v>
      </c>
      <c r="C957" s="3" t="s">
        <v>47</v>
      </c>
      <c r="D957" s="3" t="s">
        <v>4476</v>
      </c>
      <c r="E957" s="3" t="s">
        <v>47</v>
      </c>
      <c r="F957" s="3" t="s">
        <v>47</v>
      </c>
      <c r="G957" s="3" t="s">
        <v>47</v>
      </c>
      <c r="H957" s="3" t="s">
        <v>4476</v>
      </c>
      <c r="I957">
        <f t="shared" si="28"/>
        <v>473.12</v>
      </c>
      <c r="J957" t="str">
        <f t="shared" si="29"/>
        <v>VERIFICAR</v>
      </c>
    </row>
    <row r="958" spans="1:10" ht="15" customHeight="1" x14ac:dyDescent="0.2">
      <c r="A958" s="4" t="s">
        <v>4477</v>
      </c>
      <c r="B958" s="4" t="s">
        <v>4478</v>
      </c>
      <c r="C958" s="4" t="s">
        <v>47</v>
      </c>
      <c r="D958" s="4" t="s">
        <v>47</v>
      </c>
      <c r="E958" s="4" t="s">
        <v>4479</v>
      </c>
      <c r="F958" s="4" t="s">
        <v>4479</v>
      </c>
      <c r="G958" s="4" t="s">
        <v>47</v>
      </c>
      <c r="H958" s="4" t="s">
        <v>47</v>
      </c>
      <c r="I958">
        <f t="shared" si="28"/>
        <v>0</v>
      </c>
      <c r="J958" t="str">
        <f t="shared" si="29"/>
        <v>VERIFICAR</v>
      </c>
    </row>
    <row r="959" spans="1:10" ht="15" customHeight="1" x14ac:dyDescent="0.2">
      <c r="A959" s="3" t="s">
        <v>4480</v>
      </c>
      <c r="B959" s="3" t="s">
        <v>4481</v>
      </c>
      <c r="C959" s="3" t="s">
        <v>47</v>
      </c>
      <c r="D959" s="3" t="s">
        <v>47</v>
      </c>
      <c r="E959" s="3" t="s">
        <v>47</v>
      </c>
      <c r="F959" s="3" t="s">
        <v>3977</v>
      </c>
      <c r="G959" s="3" t="s">
        <v>47</v>
      </c>
      <c r="H959" s="3" t="s">
        <v>3977</v>
      </c>
      <c r="I959">
        <f t="shared" si="28"/>
        <v>61.98</v>
      </c>
      <c r="J959" t="str">
        <f t="shared" si="29"/>
        <v>VERIFICAR</v>
      </c>
    </row>
    <row r="960" spans="1:10" ht="15" customHeight="1" x14ac:dyDescent="0.2">
      <c r="A960" s="4" t="s">
        <v>4482</v>
      </c>
      <c r="B960" s="4" t="s">
        <v>4483</v>
      </c>
      <c r="C960" s="4" t="s">
        <v>4484</v>
      </c>
      <c r="D960" s="4" t="s">
        <v>4484</v>
      </c>
      <c r="E960" s="4" t="s">
        <v>3786</v>
      </c>
      <c r="F960" s="4" t="s">
        <v>3786</v>
      </c>
      <c r="G960" s="4" t="s">
        <v>47</v>
      </c>
      <c r="H960" s="4" t="s">
        <v>47</v>
      </c>
      <c r="I960">
        <f t="shared" si="28"/>
        <v>0</v>
      </c>
      <c r="J960" t="str">
        <f t="shared" si="29"/>
        <v>VERIFICAR</v>
      </c>
    </row>
    <row r="961" spans="1:10" ht="15" customHeight="1" x14ac:dyDescent="0.2">
      <c r="A961" s="3" t="s">
        <v>4485</v>
      </c>
      <c r="B961" s="3" t="s">
        <v>4486</v>
      </c>
      <c r="C961" s="3" t="s">
        <v>4487</v>
      </c>
      <c r="D961" s="3" t="s">
        <v>4487</v>
      </c>
      <c r="E961" s="3" t="s">
        <v>4488</v>
      </c>
      <c r="F961" s="3" t="s">
        <v>4488</v>
      </c>
      <c r="G961" s="3" t="s">
        <v>47</v>
      </c>
      <c r="H961" s="3" t="s">
        <v>47</v>
      </c>
      <c r="I961">
        <f t="shared" si="28"/>
        <v>0</v>
      </c>
      <c r="J961" t="str">
        <f t="shared" si="29"/>
        <v>VERIFICAR</v>
      </c>
    </row>
    <row r="962" spans="1:10" ht="15" customHeight="1" x14ac:dyDescent="0.2">
      <c r="A962" s="4" t="s">
        <v>4489</v>
      </c>
      <c r="B962" s="4" t="s">
        <v>4490</v>
      </c>
      <c r="C962" s="4" t="s">
        <v>47</v>
      </c>
      <c r="D962" s="4" t="s">
        <v>47</v>
      </c>
      <c r="E962" s="4" t="s">
        <v>4491</v>
      </c>
      <c r="F962" s="4" t="s">
        <v>4491</v>
      </c>
      <c r="G962" s="4" t="s">
        <v>47</v>
      </c>
      <c r="H962" s="4" t="s">
        <v>47</v>
      </c>
      <c r="I962">
        <f t="shared" si="28"/>
        <v>0</v>
      </c>
      <c r="J962" t="str">
        <f t="shared" si="29"/>
        <v>VERIFICAR</v>
      </c>
    </row>
    <row r="963" spans="1:10" ht="15" customHeight="1" x14ac:dyDescent="0.2">
      <c r="A963" s="3" t="s">
        <v>4492</v>
      </c>
      <c r="B963" s="3" t="s">
        <v>4493</v>
      </c>
      <c r="C963" s="3" t="s">
        <v>47</v>
      </c>
      <c r="D963" s="3" t="s">
        <v>47</v>
      </c>
      <c r="E963" s="3" t="s">
        <v>4494</v>
      </c>
      <c r="F963" s="3" t="s">
        <v>4494</v>
      </c>
      <c r="G963" s="3" t="s">
        <v>47</v>
      </c>
      <c r="H963" s="3" t="s">
        <v>47</v>
      </c>
      <c r="I963">
        <f t="shared" si="28"/>
        <v>0</v>
      </c>
      <c r="J963" t="str">
        <f t="shared" si="29"/>
        <v>VERIFICAR</v>
      </c>
    </row>
    <row r="964" spans="1:10" ht="15" customHeight="1" x14ac:dyDescent="0.2">
      <c r="A964" s="4" t="s">
        <v>4495</v>
      </c>
      <c r="B964" s="4" t="s">
        <v>4496</v>
      </c>
      <c r="C964" s="4" t="s">
        <v>47</v>
      </c>
      <c r="D964" s="4" t="s">
        <v>47</v>
      </c>
      <c r="E964" s="4" t="s">
        <v>3984</v>
      </c>
      <c r="F964" s="4" t="s">
        <v>3984</v>
      </c>
      <c r="G964" s="4" t="s">
        <v>47</v>
      </c>
      <c r="H964" s="4" t="s">
        <v>47</v>
      </c>
      <c r="I964">
        <f t="shared" ref="I964:I1027" si="30">IF(MID(A964,1,1)="1",G964-H964,IF(MID(A964,1,1)="2",H964-G964,"VERIFICAR"))</f>
        <v>0</v>
      </c>
      <c r="J964" t="str">
        <f t="shared" ref="J964:J1027" si="31">IF(MID(A964,1,1)="1",H964-I964,IF(MID(B964,1,1)="2",I964-H964,IF(MID(A964,1,1)="3",F964-E964,IF(MID(A964,1,1)="4",E964-F964,"VERIFICAR"))))</f>
        <v>VERIFICAR</v>
      </c>
    </row>
    <row r="965" spans="1:10" ht="15" customHeight="1" x14ac:dyDescent="0.2">
      <c r="A965" s="3" t="s">
        <v>4497</v>
      </c>
      <c r="B965" s="3" t="s">
        <v>4498</v>
      </c>
      <c r="C965" s="3" t="s">
        <v>47</v>
      </c>
      <c r="D965" s="3" t="s">
        <v>47</v>
      </c>
      <c r="E965" s="3" t="s">
        <v>47</v>
      </c>
      <c r="F965" s="3" t="s">
        <v>4499</v>
      </c>
      <c r="G965" s="3" t="s">
        <v>47</v>
      </c>
      <c r="H965" s="3" t="s">
        <v>4499</v>
      </c>
      <c r="I965">
        <f t="shared" si="30"/>
        <v>116.34</v>
      </c>
      <c r="J965" t="str">
        <f t="shared" si="31"/>
        <v>VERIFICAR</v>
      </c>
    </row>
    <row r="966" spans="1:10" ht="15" customHeight="1" x14ac:dyDescent="0.2">
      <c r="A966" s="4" t="s">
        <v>4500</v>
      </c>
      <c r="B966" s="4" t="s">
        <v>4501</v>
      </c>
      <c r="C966" s="4" t="s">
        <v>47</v>
      </c>
      <c r="D966" s="4" t="s">
        <v>47</v>
      </c>
      <c r="E966" s="4" t="s">
        <v>47</v>
      </c>
      <c r="F966" s="4" t="s">
        <v>4502</v>
      </c>
      <c r="G966" s="4" t="s">
        <v>47</v>
      </c>
      <c r="H966" s="4" t="s">
        <v>4502</v>
      </c>
      <c r="I966">
        <f t="shared" si="30"/>
        <v>178.46</v>
      </c>
      <c r="J966" t="str">
        <f t="shared" si="31"/>
        <v>VERIFICAR</v>
      </c>
    </row>
    <row r="967" spans="1:10" ht="15" customHeight="1" x14ac:dyDescent="0.2">
      <c r="A967" s="3" t="s">
        <v>4503</v>
      </c>
      <c r="B967" s="3" t="s">
        <v>4504</v>
      </c>
      <c r="C967" s="3" t="s">
        <v>47</v>
      </c>
      <c r="D967" s="3" t="s">
        <v>47</v>
      </c>
      <c r="E967" s="3" t="s">
        <v>4505</v>
      </c>
      <c r="F967" s="3" t="s">
        <v>4505</v>
      </c>
      <c r="G967" s="3" t="s">
        <v>47</v>
      </c>
      <c r="H967" s="3" t="s">
        <v>47</v>
      </c>
      <c r="I967">
        <f t="shared" si="30"/>
        <v>0</v>
      </c>
      <c r="J967" t="str">
        <f t="shared" si="31"/>
        <v>VERIFICAR</v>
      </c>
    </row>
    <row r="968" spans="1:10" ht="15" customHeight="1" x14ac:dyDescent="0.2">
      <c r="A968" s="4" t="s">
        <v>4506</v>
      </c>
      <c r="B968" s="4" t="s">
        <v>4507</v>
      </c>
      <c r="C968" s="4" t="s">
        <v>47</v>
      </c>
      <c r="D968" s="4" t="s">
        <v>47</v>
      </c>
      <c r="E968" s="4" t="s">
        <v>1214</v>
      </c>
      <c r="F968" s="4" t="s">
        <v>1214</v>
      </c>
      <c r="G968" s="4" t="s">
        <v>47</v>
      </c>
      <c r="H968" s="4" t="s">
        <v>47</v>
      </c>
      <c r="I968">
        <f t="shared" si="30"/>
        <v>0</v>
      </c>
      <c r="J968" t="str">
        <f t="shared" si="31"/>
        <v>VERIFICAR</v>
      </c>
    </row>
    <row r="969" spans="1:10" ht="15" customHeight="1" x14ac:dyDescent="0.2">
      <c r="A969" s="3" t="s">
        <v>4508</v>
      </c>
      <c r="B969" s="3" t="s">
        <v>4509</v>
      </c>
      <c r="C969" s="3" t="s">
        <v>47</v>
      </c>
      <c r="D969" s="3" t="s">
        <v>47</v>
      </c>
      <c r="E969" s="3" t="s">
        <v>47</v>
      </c>
      <c r="F969" s="3" t="s">
        <v>4510</v>
      </c>
      <c r="G969" s="3" t="s">
        <v>47</v>
      </c>
      <c r="H969" s="3" t="s">
        <v>4510</v>
      </c>
      <c r="I969">
        <f t="shared" si="30"/>
        <v>250.99</v>
      </c>
      <c r="J969" t="str">
        <f t="shared" si="31"/>
        <v>VERIFICAR</v>
      </c>
    </row>
    <row r="970" spans="1:10" ht="15" customHeight="1" x14ac:dyDescent="0.2">
      <c r="A970" s="4" t="s">
        <v>4511</v>
      </c>
      <c r="B970" s="4" t="s">
        <v>4512</v>
      </c>
      <c r="C970" s="4" t="s">
        <v>47</v>
      </c>
      <c r="D970" s="4" t="s">
        <v>47</v>
      </c>
      <c r="E970" s="4" t="s">
        <v>47</v>
      </c>
      <c r="F970" s="4" t="s">
        <v>537</v>
      </c>
      <c r="G970" s="4" t="s">
        <v>47</v>
      </c>
      <c r="H970" s="4" t="s">
        <v>537</v>
      </c>
      <c r="I970">
        <f t="shared" si="30"/>
        <v>3500</v>
      </c>
      <c r="J970" t="str">
        <f t="shared" si="31"/>
        <v>VERIFICAR</v>
      </c>
    </row>
    <row r="971" spans="1:10" ht="15" customHeight="1" x14ac:dyDescent="0.2">
      <c r="A971" s="3" t="s">
        <v>4513</v>
      </c>
      <c r="B971" s="3" t="s">
        <v>4514</v>
      </c>
      <c r="C971" s="3" t="s">
        <v>47</v>
      </c>
      <c r="D971" s="3" t="s">
        <v>4515</v>
      </c>
      <c r="E971" s="3" t="s">
        <v>804</v>
      </c>
      <c r="F971" s="3" t="s">
        <v>47</v>
      </c>
      <c r="G971" s="3" t="s">
        <v>47</v>
      </c>
      <c r="H971" s="3" t="s">
        <v>4516</v>
      </c>
      <c r="I971">
        <f t="shared" si="30"/>
        <v>22374.42</v>
      </c>
      <c r="J971" t="str">
        <f t="shared" si="31"/>
        <v>VERIFICAR</v>
      </c>
    </row>
    <row r="972" spans="1:10" ht="15" customHeight="1" x14ac:dyDescent="0.2">
      <c r="A972" s="4" t="s">
        <v>4517</v>
      </c>
      <c r="B972" s="4" t="s">
        <v>4518</v>
      </c>
      <c r="C972" s="4" t="s">
        <v>4519</v>
      </c>
      <c r="D972" s="4" t="s">
        <v>4520</v>
      </c>
      <c r="E972" s="4" t="s">
        <v>47</v>
      </c>
      <c r="F972" s="4" t="s">
        <v>47</v>
      </c>
      <c r="G972" s="4" t="s">
        <v>47</v>
      </c>
      <c r="H972" s="4" t="s">
        <v>4521</v>
      </c>
      <c r="I972">
        <f t="shared" si="30"/>
        <v>178.91</v>
      </c>
      <c r="J972" t="str">
        <f t="shared" si="31"/>
        <v>VERIFICAR</v>
      </c>
    </row>
    <row r="973" spans="1:10" ht="15" customHeight="1" x14ac:dyDescent="0.2">
      <c r="A973" s="3" t="s">
        <v>4522</v>
      </c>
      <c r="B973" s="3" t="s">
        <v>4523</v>
      </c>
      <c r="C973" s="3" t="s">
        <v>47</v>
      </c>
      <c r="D973" s="3" t="s">
        <v>47</v>
      </c>
      <c r="E973" s="3" t="s">
        <v>4524</v>
      </c>
      <c r="F973" s="3" t="s">
        <v>4525</v>
      </c>
      <c r="G973" s="3" t="s">
        <v>47</v>
      </c>
      <c r="H973" s="3" t="s">
        <v>4526</v>
      </c>
      <c r="I973">
        <f t="shared" si="30"/>
        <v>961938.8</v>
      </c>
      <c r="J973" t="str">
        <f t="shared" si="31"/>
        <v>VERIFICAR</v>
      </c>
    </row>
    <row r="974" spans="1:10" ht="15" customHeight="1" x14ac:dyDescent="0.2">
      <c r="A974" s="4" t="s">
        <v>4527</v>
      </c>
      <c r="B974" s="4" t="s">
        <v>4528</v>
      </c>
      <c r="C974" s="4" t="s">
        <v>4529</v>
      </c>
      <c r="D974" s="4" t="s">
        <v>4530</v>
      </c>
      <c r="E974" s="4" t="s">
        <v>4531</v>
      </c>
      <c r="F974" s="4" t="s">
        <v>4531</v>
      </c>
      <c r="G974" s="4" t="s">
        <v>47</v>
      </c>
      <c r="H974" s="4" t="s">
        <v>4532</v>
      </c>
      <c r="I974">
        <f t="shared" si="30"/>
        <v>60288.35</v>
      </c>
      <c r="J974" t="str">
        <f t="shared" si="31"/>
        <v>VERIFICAR</v>
      </c>
    </row>
    <row r="975" spans="1:10" ht="15" customHeight="1" x14ac:dyDescent="0.2">
      <c r="A975" s="3" t="s">
        <v>4533</v>
      </c>
      <c r="B975" s="3" t="s">
        <v>4534</v>
      </c>
      <c r="C975" s="3" t="s">
        <v>4535</v>
      </c>
      <c r="D975" s="3" t="s">
        <v>4536</v>
      </c>
      <c r="E975" s="3" t="s">
        <v>4537</v>
      </c>
      <c r="F975" s="3" t="s">
        <v>4538</v>
      </c>
      <c r="G975" s="3" t="s">
        <v>47</v>
      </c>
      <c r="H975" s="3" t="s">
        <v>4539</v>
      </c>
      <c r="I975">
        <f t="shared" si="30"/>
        <v>898238.32</v>
      </c>
      <c r="J975" t="str">
        <f t="shared" si="31"/>
        <v>VERIFICAR</v>
      </c>
    </row>
    <row r="976" spans="1:10" ht="15" customHeight="1" x14ac:dyDescent="0.2">
      <c r="A976" s="4" t="s">
        <v>4540</v>
      </c>
      <c r="B976" s="4" t="s">
        <v>4541</v>
      </c>
      <c r="C976" s="4" t="s">
        <v>4542</v>
      </c>
      <c r="D976" s="4" t="s">
        <v>4542</v>
      </c>
      <c r="E976" s="4" t="s">
        <v>4543</v>
      </c>
      <c r="F976" s="4" t="s">
        <v>4544</v>
      </c>
      <c r="G976" s="4" t="s">
        <v>47</v>
      </c>
      <c r="H976" s="4" t="s">
        <v>4545</v>
      </c>
      <c r="I976">
        <f t="shared" si="30"/>
        <v>3412.14</v>
      </c>
      <c r="J976" t="str">
        <f t="shared" si="31"/>
        <v>VERIFICAR</v>
      </c>
    </row>
    <row r="977" spans="1:10" ht="15" customHeight="1" x14ac:dyDescent="0.2">
      <c r="A977" s="3" t="s">
        <v>4546</v>
      </c>
      <c r="B977" s="3" t="s">
        <v>4547</v>
      </c>
      <c r="C977" s="3" t="s">
        <v>4548</v>
      </c>
      <c r="D977" s="3" t="s">
        <v>4549</v>
      </c>
      <c r="E977" s="3" t="s">
        <v>47</v>
      </c>
      <c r="F977" s="3" t="s">
        <v>47</v>
      </c>
      <c r="G977" s="3" t="s">
        <v>394</v>
      </c>
      <c r="H977" s="3" t="s">
        <v>47</v>
      </c>
      <c r="I977">
        <f t="shared" si="30"/>
        <v>-0.01</v>
      </c>
      <c r="J977" t="str">
        <f t="shared" si="31"/>
        <v>VERIFICAR</v>
      </c>
    </row>
    <row r="978" spans="1:10" ht="15" customHeight="1" x14ac:dyDescent="0.2">
      <c r="A978" s="4" t="s">
        <v>4550</v>
      </c>
      <c r="B978" s="4" t="s">
        <v>4551</v>
      </c>
      <c r="C978" s="4" t="s">
        <v>47</v>
      </c>
      <c r="D978" s="4" t="s">
        <v>47</v>
      </c>
      <c r="E978" s="4" t="s">
        <v>4552</v>
      </c>
      <c r="F978" s="4" t="s">
        <v>4553</v>
      </c>
      <c r="G978" s="4" t="s">
        <v>47</v>
      </c>
      <c r="H978" s="4" t="s">
        <v>4554</v>
      </c>
      <c r="I978">
        <f t="shared" si="30"/>
        <v>4181686.39</v>
      </c>
      <c r="J978" t="str">
        <f t="shared" si="31"/>
        <v>VERIFICAR</v>
      </c>
    </row>
    <row r="979" spans="1:10" ht="15" customHeight="1" x14ac:dyDescent="0.2">
      <c r="A979" s="3" t="s">
        <v>4555</v>
      </c>
      <c r="B979" s="3" t="s">
        <v>4556</v>
      </c>
      <c r="C979" s="3" t="s">
        <v>47</v>
      </c>
      <c r="D979" s="3" t="s">
        <v>47</v>
      </c>
      <c r="E979" s="3" t="s">
        <v>4552</v>
      </c>
      <c r="F979" s="3" t="s">
        <v>4553</v>
      </c>
      <c r="G979" s="3" t="s">
        <v>47</v>
      </c>
      <c r="H979" s="3" t="s">
        <v>4554</v>
      </c>
      <c r="I979">
        <f t="shared" si="30"/>
        <v>4181686.39</v>
      </c>
      <c r="J979" t="str">
        <f t="shared" si="31"/>
        <v>VERIFICAR</v>
      </c>
    </row>
    <row r="980" spans="1:10" ht="15" customHeight="1" x14ac:dyDescent="0.2">
      <c r="A980" s="4" t="s">
        <v>4557</v>
      </c>
      <c r="B980" s="4" t="s">
        <v>4558</v>
      </c>
      <c r="C980" s="4" t="s">
        <v>4559</v>
      </c>
      <c r="D980" s="4" t="s">
        <v>4560</v>
      </c>
      <c r="E980" s="4" t="s">
        <v>4561</v>
      </c>
      <c r="F980" s="4" t="s">
        <v>47</v>
      </c>
      <c r="G980" s="4" t="s">
        <v>47</v>
      </c>
      <c r="H980" s="4" t="s">
        <v>47</v>
      </c>
      <c r="I980">
        <f t="shared" si="30"/>
        <v>0</v>
      </c>
      <c r="J980" t="str">
        <f t="shared" si="31"/>
        <v>VERIFICAR</v>
      </c>
    </row>
    <row r="981" spans="1:10" ht="15" customHeight="1" x14ac:dyDescent="0.2">
      <c r="A981" s="3" t="s">
        <v>4562</v>
      </c>
      <c r="B981" s="3" t="s">
        <v>4563</v>
      </c>
      <c r="C981" s="3" t="s">
        <v>4564</v>
      </c>
      <c r="D981" s="3" t="s">
        <v>4565</v>
      </c>
      <c r="E981" s="3" t="s">
        <v>47</v>
      </c>
      <c r="F981" s="3" t="s">
        <v>47</v>
      </c>
      <c r="G981" s="3" t="s">
        <v>4566</v>
      </c>
      <c r="H981" s="3" t="s">
        <v>47</v>
      </c>
      <c r="I981">
        <f t="shared" si="30"/>
        <v>-59.7</v>
      </c>
      <c r="J981" t="str">
        <f t="shared" si="31"/>
        <v>VERIFICAR</v>
      </c>
    </row>
    <row r="982" spans="1:10" ht="15" customHeight="1" x14ac:dyDescent="0.2">
      <c r="A982" s="4" t="s">
        <v>4567</v>
      </c>
      <c r="B982" s="4" t="s">
        <v>4568</v>
      </c>
      <c r="C982" s="4" t="s">
        <v>4569</v>
      </c>
      <c r="D982" s="4" t="s">
        <v>4570</v>
      </c>
      <c r="E982" s="4" t="s">
        <v>47</v>
      </c>
      <c r="F982" s="4" t="s">
        <v>47</v>
      </c>
      <c r="G982" s="4" t="s">
        <v>47</v>
      </c>
      <c r="H982" s="4" t="s">
        <v>394</v>
      </c>
      <c r="I982">
        <f t="shared" si="30"/>
        <v>0.01</v>
      </c>
      <c r="J982" t="str">
        <f t="shared" si="31"/>
        <v>VERIFICAR</v>
      </c>
    </row>
    <row r="983" spans="1:10" ht="15" customHeight="1" x14ac:dyDescent="0.2">
      <c r="A983" s="3" t="s">
        <v>4571</v>
      </c>
      <c r="B983" s="3" t="s">
        <v>4572</v>
      </c>
      <c r="C983" s="3" t="s">
        <v>4573</v>
      </c>
      <c r="D983" s="3" t="s">
        <v>4574</v>
      </c>
      <c r="E983" s="3" t="s">
        <v>47</v>
      </c>
      <c r="F983" s="3" t="s">
        <v>47</v>
      </c>
      <c r="G983" s="3" t="s">
        <v>47</v>
      </c>
      <c r="H983" s="3" t="s">
        <v>394</v>
      </c>
      <c r="I983">
        <f t="shared" si="30"/>
        <v>0.01</v>
      </c>
      <c r="J983" t="str">
        <f t="shared" si="31"/>
        <v>VERIFICAR</v>
      </c>
    </row>
    <row r="984" spans="1:10" ht="15" customHeight="1" x14ac:dyDescent="0.2">
      <c r="A984" s="4" t="s">
        <v>4575</v>
      </c>
      <c r="B984" s="4" t="s">
        <v>4576</v>
      </c>
      <c r="C984" s="4" t="s">
        <v>4577</v>
      </c>
      <c r="D984" s="4" t="s">
        <v>4578</v>
      </c>
      <c r="E984" s="4" t="s">
        <v>47</v>
      </c>
      <c r="F984" s="4" t="s">
        <v>47</v>
      </c>
      <c r="G984" s="4" t="s">
        <v>47</v>
      </c>
      <c r="H984" s="4" t="s">
        <v>1251</v>
      </c>
      <c r="I984">
        <f t="shared" si="30"/>
        <v>0.03</v>
      </c>
      <c r="J984" t="str">
        <f t="shared" si="31"/>
        <v>VERIFICAR</v>
      </c>
    </row>
    <row r="985" spans="1:10" ht="15" customHeight="1" x14ac:dyDescent="0.2">
      <c r="A985" s="3" t="s">
        <v>4579</v>
      </c>
      <c r="B985" s="3" t="s">
        <v>4580</v>
      </c>
      <c r="C985" s="3" t="s">
        <v>4581</v>
      </c>
      <c r="D985" s="3" t="s">
        <v>4582</v>
      </c>
      <c r="E985" s="3" t="s">
        <v>47</v>
      </c>
      <c r="F985" s="3" t="s">
        <v>47</v>
      </c>
      <c r="G985" s="3" t="s">
        <v>47</v>
      </c>
      <c r="H985" s="3" t="s">
        <v>394</v>
      </c>
      <c r="I985">
        <f t="shared" si="30"/>
        <v>0.01</v>
      </c>
      <c r="J985" t="str">
        <f t="shared" si="31"/>
        <v>VERIFICAR</v>
      </c>
    </row>
    <row r="986" spans="1:10" ht="15" customHeight="1" x14ac:dyDescent="0.2">
      <c r="A986" s="4" t="s">
        <v>4583</v>
      </c>
      <c r="B986" s="4" t="s">
        <v>4584</v>
      </c>
      <c r="C986" s="4" t="s">
        <v>4585</v>
      </c>
      <c r="D986" s="4" t="s">
        <v>4586</v>
      </c>
      <c r="E986" s="4" t="s">
        <v>47</v>
      </c>
      <c r="F986" s="4" t="s">
        <v>47</v>
      </c>
      <c r="G986" s="4" t="s">
        <v>47</v>
      </c>
      <c r="H986" s="4" t="s">
        <v>394</v>
      </c>
      <c r="I986">
        <f t="shared" si="30"/>
        <v>0.01</v>
      </c>
      <c r="J986" t="str">
        <f t="shared" si="31"/>
        <v>VERIFICAR</v>
      </c>
    </row>
    <row r="987" spans="1:10" ht="15" customHeight="1" x14ac:dyDescent="0.2">
      <c r="A987" s="3" t="s">
        <v>4587</v>
      </c>
      <c r="B987" s="3" t="s">
        <v>4588</v>
      </c>
      <c r="C987" s="3" t="s">
        <v>4589</v>
      </c>
      <c r="D987" s="3" t="s">
        <v>4590</v>
      </c>
      <c r="E987" s="3" t="s">
        <v>4591</v>
      </c>
      <c r="F987" s="3" t="s">
        <v>4592</v>
      </c>
      <c r="G987" s="3" t="s">
        <v>47</v>
      </c>
      <c r="H987" s="3" t="s">
        <v>4593</v>
      </c>
      <c r="I987">
        <f t="shared" si="30"/>
        <v>738890.5</v>
      </c>
      <c r="J987" t="str">
        <f t="shared" si="31"/>
        <v>VERIFICAR</v>
      </c>
    </row>
    <row r="988" spans="1:10" ht="15" customHeight="1" x14ac:dyDescent="0.2">
      <c r="A988" s="4" t="s">
        <v>4594</v>
      </c>
      <c r="B988" s="4" t="s">
        <v>4595</v>
      </c>
      <c r="C988" s="4" t="s">
        <v>4596</v>
      </c>
      <c r="D988" s="4" t="s">
        <v>4597</v>
      </c>
      <c r="E988" s="4" t="s">
        <v>4598</v>
      </c>
      <c r="F988" s="4" t="s">
        <v>4599</v>
      </c>
      <c r="G988" s="4" t="s">
        <v>47</v>
      </c>
      <c r="H988" s="4" t="s">
        <v>4600</v>
      </c>
      <c r="I988">
        <f t="shared" si="30"/>
        <v>362974.26</v>
      </c>
      <c r="J988" t="str">
        <f t="shared" si="31"/>
        <v>VERIFICAR</v>
      </c>
    </row>
    <row r="989" spans="1:10" ht="15" customHeight="1" x14ac:dyDescent="0.2">
      <c r="A989" s="3" t="s">
        <v>4601</v>
      </c>
      <c r="B989" s="3" t="s">
        <v>4602</v>
      </c>
      <c r="C989" s="3" t="s">
        <v>4603</v>
      </c>
      <c r="D989" s="3" t="s">
        <v>4604</v>
      </c>
      <c r="E989" s="3" t="s">
        <v>47</v>
      </c>
      <c r="F989" s="3" t="s">
        <v>4605</v>
      </c>
      <c r="G989" s="3" t="s">
        <v>47</v>
      </c>
      <c r="H989" s="3" t="s">
        <v>4606</v>
      </c>
      <c r="I989">
        <f t="shared" si="30"/>
        <v>406449.44</v>
      </c>
      <c r="J989" t="str">
        <f t="shared" si="31"/>
        <v>VERIFICAR</v>
      </c>
    </row>
    <row r="990" spans="1:10" ht="15" customHeight="1" x14ac:dyDescent="0.2">
      <c r="A990" s="4" t="s">
        <v>4607</v>
      </c>
      <c r="B990" s="4" t="s">
        <v>4608</v>
      </c>
      <c r="C990" s="4" t="s">
        <v>4609</v>
      </c>
      <c r="D990" s="4" t="s">
        <v>4610</v>
      </c>
      <c r="E990" s="4" t="s">
        <v>47</v>
      </c>
      <c r="F990" s="4" t="s">
        <v>4611</v>
      </c>
      <c r="G990" s="4" t="s">
        <v>47</v>
      </c>
      <c r="H990" s="4" t="s">
        <v>4612</v>
      </c>
      <c r="I990">
        <f t="shared" si="30"/>
        <v>503857.22</v>
      </c>
      <c r="J990" t="str">
        <f t="shared" si="31"/>
        <v>VERIFICAR</v>
      </c>
    </row>
    <row r="991" spans="1:10" ht="15" customHeight="1" x14ac:dyDescent="0.2">
      <c r="A991" s="3" t="s">
        <v>4613</v>
      </c>
      <c r="B991" s="3" t="s">
        <v>4614</v>
      </c>
      <c r="C991" s="3" t="s">
        <v>4615</v>
      </c>
      <c r="D991" s="3" t="s">
        <v>4616</v>
      </c>
      <c r="E991" s="3" t="s">
        <v>4617</v>
      </c>
      <c r="F991" s="3" t="s">
        <v>4618</v>
      </c>
      <c r="G991" s="3" t="s">
        <v>47</v>
      </c>
      <c r="H991" s="3" t="s">
        <v>4619</v>
      </c>
      <c r="I991">
        <f t="shared" si="30"/>
        <v>1000001.61</v>
      </c>
      <c r="J991" t="str">
        <f t="shared" si="31"/>
        <v>VERIFICAR</v>
      </c>
    </row>
    <row r="992" spans="1:10" ht="15" customHeight="1" x14ac:dyDescent="0.2">
      <c r="A992" s="4" t="s">
        <v>4620</v>
      </c>
      <c r="B992" s="4" t="s">
        <v>4621</v>
      </c>
      <c r="C992" s="4" t="s">
        <v>4622</v>
      </c>
      <c r="D992" s="4" t="s">
        <v>4623</v>
      </c>
      <c r="E992" s="4" t="s">
        <v>47</v>
      </c>
      <c r="F992" s="4" t="s">
        <v>4624</v>
      </c>
      <c r="G992" s="4" t="s">
        <v>47</v>
      </c>
      <c r="H992" s="4" t="s">
        <v>4625</v>
      </c>
      <c r="I992">
        <f t="shared" si="30"/>
        <v>477484.35</v>
      </c>
      <c r="J992" t="str">
        <f t="shared" si="31"/>
        <v>VERIFICAR</v>
      </c>
    </row>
    <row r="993" spans="1:10" ht="15" customHeight="1" x14ac:dyDescent="0.2">
      <c r="A993" s="3" t="s">
        <v>4626</v>
      </c>
      <c r="B993" s="3" t="s">
        <v>4627</v>
      </c>
      <c r="C993" s="3" t="s">
        <v>4628</v>
      </c>
      <c r="D993" s="3" t="s">
        <v>4629</v>
      </c>
      <c r="E993" s="3" t="s">
        <v>47</v>
      </c>
      <c r="F993" s="3" t="s">
        <v>4630</v>
      </c>
      <c r="G993" s="3" t="s">
        <v>47</v>
      </c>
      <c r="H993" s="3" t="s">
        <v>4631</v>
      </c>
      <c r="I993">
        <f t="shared" si="30"/>
        <v>267588.93</v>
      </c>
      <c r="J993" t="str">
        <f t="shared" si="31"/>
        <v>VERIFICAR</v>
      </c>
    </row>
    <row r="994" spans="1:10" ht="15" customHeight="1" x14ac:dyDescent="0.2">
      <c r="A994" s="4" t="s">
        <v>4632</v>
      </c>
      <c r="B994" s="4" t="s">
        <v>4633</v>
      </c>
      <c r="C994" s="4" t="s">
        <v>47</v>
      </c>
      <c r="D994" s="4" t="s">
        <v>4634</v>
      </c>
      <c r="E994" s="4" t="s">
        <v>4635</v>
      </c>
      <c r="F994" s="4" t="s">
        <v>4636</v>
      </c>
      <c r="G994" s="4" t="s">
        <v>47</v>
      </c>
      <c r="H994" s="4" t="s">
        <v>4637</v>
      </c>
      <c r="I994">
        <f t="shared" si="30"/>
        <v>424499.71</v>
      </c>
      <c r="J994" t="str">
        <f t="shared" si="31"/>
        <v>VERIFICAR</v>
      </c>
    </row>
    <row r="995" spans="1:10" ht="15" customHeight="1" x14ac:dyDescent="0.2">
      <c r="A995" s="3" t="s">
        <v>4638</v>
      </c>
      <c r="B995" s="3" t="s">
        <v>4639</v>
      </c>
      <c r="C995" s="3" t="s">
        <v>47</v>
      </c>
      <c r="D995" s="3" t="s">
        <v>47</v>
      </c>
      <c r="E995" s="3" t="s">
        <v>4640</v>
      </c>
      <c r="F995" s="3" t="s">
        <v>4641</v>
      </c>
      <c r="G995" s="3" t="s">
        <v>47</v>
      </c>
      <c r="H995" s="3" t="s">
        <v>4642</v>
      </c>
      <c r="I995">
        <f t="shared" si="30"/>
        <v>74105.87</v>
      </c>
      <c r="J995" t="str">
        <f t="shared" si="31"/>
        <v>VERIFICAR</v>
      </c>
    </row>
    <row r="996" spans="1:10" ht="15" customHeight="1" x14ac:dyDescent="0.2">
      <c r="A996" s="4" t="s">
        <v>4643</v>
      </c>
      <c r="B996" s="4" t="s">
        <v>4644</v>
      </c>
      <c r="C996" s="4" t="s">
        <v>47</v>
      </c>
      <c r="D996" s="4" t="s">
        <v>47</v>
      </c>
      <c r="E996" s="4" t="s">
        <v>4645</v>
      </c>
      <c r="F996" s="4" t="s">
        <v>4646</v>
      </c>
      <c r="G996" s="4" t="s">
        <v>4647</v>
      </c>
      <c r="H996" s="4" t="s">
        <v>47</v>
      </c>
      <c r="I996">
        <f t="shared" si="30"/>
        <v>-1550.2</v>
      </c>
      <c r="J996" t="str">
        <f t="shared" si="31"/>
        <v>VERIFICAR</v>
      </c>
    </row>
    <row r="997" spans="1:10" ht="15" customHeight="1" x14ac:dyDescent="0.2">
      <c r="A997" s="3" t="s">
        <v>4648</v>
      </c>
      <c r="B997" s="3" t="s">
        <v>4644</v>
      </c>
      <c r="C997" s="3" t="s">
        <v>4649</v>
      </c>
      <c r="D997" s="3" t="s">
        <v>4649</v>
      </c>
      <c r="E997" s="3" t="s">
        <v>4650</v>
      </c>
      <c r="F997" s="3" t="s">
        <v>4650</v>
      </c>
      <c r="G997" s="3" t="s">
        <v>47</v>
      </c>
      <c r="H997" s="3" t="s">
        <v>47</v>
      </c>
      <c r="I997">
        <f t="shared" si="30"/>
        <v>0</v>
      </c>
      <c r="J997" t="str">
        <f t="shared" si="31"/>
        <v>VERIFICAR</v>
      </c>
    </row>
    <row r="998" spans="1:10" ht="15" customHeight="1" x14ac:dyDescent="0.2">
      <c r="A998" s="4" t="s">
        <v>4651</v>
      </c>
      <c r="B998" s="4" t="s">
        <v>4652</v>
      </c>
      <c r="C998" s="4" t="s">
        <v>4653</v>
      </c>
      <c r="D998" s="4" t="s">
        <v>4654</v>
      </c>
      <c r="E998" s="4" t="s">
        <v>4655</v>
      </c>
      <c r="F998" s="4" t="s">
        <v>4656</v>
      </c>
      <c r="G998" s="4" t="s">
        <v>47</v>
      </c>
      <c r="H998" s="4" t="s">
        <v>47</v>
      </c>
      <c r="I998">
        <f t="shared" si="30"/>
        <v>0</v>
      </c>
      <c r="J998" t="str">
        <f t="shared" si="31"/>
        <v>VERIFICAR</v>
      </c>
    </row>
    <row r="999" spans="1:10" ht="15" customHeight="1" x14ac:dyDescent="0.2">
      <c r="A999" s="3" t="s">
        <v>4657</v>
      </c>
      <c r="B999" s="3" t="s">
        <v>4658</v>
      </c>
      <c r="C999" s="3" t="s">
        <v>4659</v>
      </c>
      <c r="D999" s="3" t="s">
        <v>4659</v>
      </c>
      <c r="E999" s="3" t="s">
        <v>4660</v>
      </c>
      <c r="F999" s="3" t="s">
        <v>4661</v>
      </c>
      <c r="G999" s="3" t="s">
        <v>4662</v>
      </c>
      <c r="H999" s="3" t="s">
        <v>47</v>
      </c>
      <c r="I999">
        <f t="shared" si="30"/>
        <v>-1564.3</v>
      </c>
      <c r="J999" t="str">
        <f t="shared" si="31"/>
        <v>VERIFICAR</v>
      </c>
    </row>
    <row r="1000" spans="1:10" ht="15" customHeight="1" x14ac:dyDescent="0.2">
      <c r="A1000" s="4" t="s">
        <v>4663</v>
      </c>
      <c r="B1000" s="4" t="s">
        <v>4664</v>
      </c>
      <c r="C1000" s="4" t="s">
        <v>4665</v>
      </c>
      <c r="D1000" s="4" t="s">
        <v>4666</v>
      </c>
      <c r="E1000" s="4" t="s">
        <v>47</v>
      </c>
      <c r="F1000" s="4" t="s">
        <v>47</v>
      </c>
      <c r="G1000" s="4" t="s">
        <v>47</v>
      </c>
      <c r="H1000" s="4" t="s">
        <v>4667</v>
      </c>
      <c r="I1000">
        <f t="shared" si="30"/>
        <v>14.1</v>
      </c>
      <c r="J1000" t="str">
        <f t="shared" si="31"/>
        <v>VERIFICAR</v>
      </c>
    </row>
    <row r="1001" spans="1:10" ht="15" customHeight="1" x14ac:dyDescent="0.2">
      <c r="A1001" s="3" t="s">
        <v>4668</v>
      </c>
      <c r="B1001" s="3" t="s">
        <v>4669</v>
      </c>
      <c r="C1001" s="3" t="s">
        <v>47</v>
      </c>
      <c r="D1001" s="3" t="s">
        <v>47</v>
      </c>
      <c r="E1001" s="3" t="s">
        <v>4670</v>
      </c>
      <c r="F1001" s="3" t="s">
        <v>4671</v>
      </c>
      <c r="G1001" s="3" t="s">
        <v>47</v>
      </c>
      <c r="H1001" s="3" t="s">
        <v>4672</v>
      </c>
      <c r="I1001">
        <f t="shared" si="30"/>
        <v>24758.27</v>
      </c>
      <c r="J1001" t="str">
        <f t="shared" si="31"/>
        <v>VERIFICAR</v>
      </c>
    </row>
    <row r="1002" spans="1:10" ht="15" customHeight="1" x14ac:dyDescent="0.2">
      <c r="A1002" s="4" t="s">
        <v>4673</v>
      </c>
      <c r="B1002" s="4" t="s">
        <v>4674</v>
      </c>
      <c r="C1002" s="4" t="s">
        <v>4675</v>
      </c>
      <c r="D1002" s="4" t="s">
        <v>4676</v>
      </c>
      <c r="E1002" s="4" t="s">
        <v>4677</v>
      </c>
      <c r="F1002" s="4" t="s">
        <v>4678</v>
      </c>
      <c r="G1002" s="4" t="s">
        <v>47</v>
      </c>
      <c r="H1002" s="4" t="s">
        <v>4679</v>
      </c>
      <c r="I1002">
        <f t="shared" si="30"/>
        <v>27151.69</v>
      </c>
      <c r="J1002" t="str">
        <f t="shared" si="31"/>
        <v>VERIFICAR</v>
      </c>
    </row>
    <row r="1003" spans="1:10" ht="15" customHeight="1" x14ac:dyDescent="0.2">
      <c r="A1003" s="3" t="s">
        <v>4680</v>
      </c>
      <c r="B1003" s="3" t="s">
        <v>4681</v>
      </c>
      <c r="C1003" s="3" t="s">
        <v>4682</v>
      </c>
      <c r="D1003" s="3" t="s">
        <v>4683</v>
      </c>
      <c r="E1003" s="3" t="s">
        <v>4684</v>
      </c>
      <c r="F1003" s="3" t="s">
        <v>4685</v>
      </c>
      <c r="G1003" s="3" t="s">
        <v>47</v>
      </c>
      <c r="H1003" s="3" t="s">
        <v>4686</v>
      </c>
      <c r="I1003">
        <f t="shared" si="30"/>
        <v>4468.33</v>
      </c>
      <c r="J1003" t="str">
        <f t="shared" si="31"/>
        <v>VERIFICAR</v>
      </c>
    </row>
    <row r="1004" spans="1:10" ht="15" customHeight="1" x14ac:dyDescent="0.2">
      <c r="A1004" s="4" t="s">
        <v>4687</v>
      </c>
      <c r="B1004" s="4" t="s">
        <v>4688</v>
      </c>
      <c r="C1004" s="4" t="s">
        <v>4689</v>
      </c>
      <c r="D1004" s="4" t="s">
        <v>4690</v>
      </c>
      <c r="E1004" s="4" t="s">
        <v>4691</v>
      </c>
      <c r="F1004" s="4" t="s">
        <v>4692</v>
      </c>
      <c r="G1004" s="4" t="s">
        <v>4693</v>
      </c>
      <c r="H1004" s="4" t="s">
        <v>47</v>
      </c>
      <c r="I1004">
        <f t="shared" si="30"/>
        <v>-6861.75</v>
      </c>
      <c r="J1004" t="str">
        <f t="shared" si="31"/>
        <v>VERIFICAR</v>
      </c>
    </row>
    <row r="1005" spans="1:10" ht="15" customHeight="1" x14ac:dyDescent="0.2">
      <c r="A1005" s="3" t="s">
        <v>4694</v>
      </c>
      <c r="B1005" s="3" t="s">
        <v>4695</v>
      </c>
      <c r="C1005" s="3" t="s">
        <v>47</v>
      </c>
      <c r="D1005" s="3" t="s">
        <v>47</v>
      </c>
      <c r="E1005" s="3" t="s">
        <v>4696</v>
      </c>
      <c r="F1005" s="3" t="s">
        <v>4697</v>
      </c>
      <c r="G1005" s="3" t="s">
        <v>47</v>
      </c>
      <c r="H1005" s="3" t="s">
        <v>4698</v>
      </c>
      <c r="I1005">
        <f t="shared" si="30"/>
        <v>50897.8</v>
      </c>
      <c r="J1005" t="str">
        <f t="shared" si="31"/>
        <v>VERIFICAR</v>
      </c>
    </row>
    <row r="1006" spans="1:10" ht="15" customHeight="1" x14ac:dyDescent="0.2">
      <c r="A1006" s="4" t="s">
        <v>4699</v>
      </c>
      <c r="B1006" s="4" t="s">
        <v>4700</v>
      </c>
      <c r="C1006" s="4" t="s">
        <v>4701</v>
      </c>
      <c r="D1006" s="4" t="s">
        <v>4702</v>
      </c>
      <c r="E1006" s="4" t="s">
        <v>4703</v>
      </c>
      <c r="F1006" s="4" t="s">
        <v>4704</v>
      </c>
      <c r="G1006" s="4" t="s">
        <v>47</v>
      </c>
      <c r="H1006" s="4" t="s">
        <v>4705</v>
      </c>
      <c r="I1006">
        <f t="shared" si="30"/>
        <v>31126.12</v>
      </c>
      <c r="J1006" t="str">
        <f t="shared" si="31"/>
        <v>VERIFICAR</v>
      </c>
    </row>
    <row r="1007" spans="1:10" ht="15" customHeight="1" x14ac:dyDescent="0.2">
      <c r="A1007" s="3" t="s">
        <v>4706</v>
      </c>
      <c r="B1007" s="3" t="s">
        <v>4707</v>
      </c>
      <c r="C1007" s="3" t="s">
        <v>4708</v>
      </c>
      <c r="D1007" s="3" t="s">
        <v>4709</v>
      </c>
      <c r="E1007" s="3" t="s">
        <v>47</v>
      </c>
      <c r="F1007" s="3" t="s">
        <v>47</v>
      </c>
      <c r="G1007" s="3" t="s">
        <v>4710</v>
      </c>
      <c r="H1007" s="3" t="s">
        <v>47</v>
      </c>
      <c r="I1007">
        <f t="shared" si="30"/>
        <v>-3453.27</v>
      </c>
      <c r="J1007" t="str">
        <f t="shared" si="31"/>
        <v>VERIFICAR</v>
      </c>
    </row>
    <row r="1008" spans="1:10" ht="15" customHeight="1" x14ac:dyDescent="0.2">
      <c r="A1008" s="4" t="s">
        <v>4711</v>
      </c>
      <c r="B1008" s="4" t="s">
        <v>4712</v>
      </c>
      <c r="C1008" s="4" t="s">
        <v>4713</v>
      </c>
      <c r="D1008" s="4" t="s">
        <v>4714</v>
      </c>
      <c r="E1008" s="4" t="s">
        <v>4715</v>
      </c>
      <c r="F1008" s="4" t="s">
        <v>4716</v>
      </c>
      <c r="G1008" s="4" t="s">
        <v>47</v>
      </c>
      <c r="H1008" s="4" t="s">
        <v>4717</v>
      </c>
      <c r="I1008">
        <f t="shared" si="30"/>
        <v>23224.95</v>
      </c>
      <c r="J1008" t="str">
        <f t="shared" si="31"/>
        <v>VERIFICAR</v>
      </c>
    </row>
    <row r="1009" spans="1:10" ht="15" customHeight="1" x14ac:dyDescent="0.2">
      <c r="A1009" s="3" t="s">
        <v>4718</v>
      </c>
      <c r="B1009" s="3" t="s">
        <v>4719</v>
      </c>
      <c r="C1009" s="3" t="s">
        <v>47</v>
      </c>
      <c r="D1009" s="3" t="s">
        <v>47</v>
      </c>
      <c r="E1009" s="3" t="s">
        <v>4720</v>
      </c>
      <c r="F1009" s="3" t="s">
        <v>4721</v>
      </c>
      <c r="G1009" s="3" t="s">
        <v>47</v>
      </c>
      <c r="H1009" s="3" t="s">
        <v>4722</v>
      </c>
      <c r="I1009">
        <f t="shared" si="30"/>
        <v>81279.839999999997</v>
      </c>
      <c r="J1009" t="str">
        <f t="shared" si="31"/>
        <v>VERIFICAR</v>
      </c>
    </row>
    <row r="1010" spans="1:10" ht="15" customHeight="1" x14ac:dyDescent="0.2">
      <c r="A1010" s="4" t="s">
        <v>4723</v>
      </c>
      <c r="B1010" s="4" t="s">
        <v>4724</v>
      </c>
      <c r="C1010" s="4" t="s">
        <v>47</v>
      </c>
      <c r="D1010" s="4" t="s">
        <v>47</v>
      </c>
      <c r="E1010" s="4" t="s">
        <v>4725</v>
      </c>
      <c r="F1010" s="4" t="s">
        <v>4726</v>
      </c>
      <c r="G1010" s="4" t="s">
        <v>47</v>
      </c>
      <c r="H1010" s="4" t="s">
        <v>4727</v>
      </c>
      <c r="I1010">
        <f t="shared" si="30"/>
        <v>17327.830000000002</v>
      </c>
      <c r="J1010" t="str">
        <f t="shared" si="31"/>
        <v>VERIFICAR</v>
      </c>
    </row>
    <row r="1011" spans="1:10" ht="15" customHeight="1" x14ac:dyDescent="0.2">
      <c r="A1011" s="3" t="s">
        <v>4728</v>
      </c>
      <c r="B1011" s="3" t="s">
        <v>2745</v>
      </c>
      <c r="C1011" s="3" t="s">
        <v>4729</v>
      </c>
      <c r="D1011" s="3" t="s">
        <v>4730</v>
      </c>
      <c r="E1011" s="3" t="s">
        <v>4731</v>
      </c>
      <c r="F1011" s="3" t="s">
        <v>4732</v>
      </c>
      <c r="G1011" s="3" t="s">
        <v>47</v>
      </c>
      <c r="H1011" s="3" t="s">
        <v>4733</v>
      </c>
      <c r="I1011">
        <f t="shared" si="30"/>
        <v>9446.24</v>
      </c>
      <c r="J1011" t="str">
        <f t="shared" si="31"/>
        <v>VERIFICAR</v>
      </c>
    </row>
    <row r="1012" spans="1:10" ht="15" customHeight="1" x14ac:dyDescent="0.2">
      <c r="A1012" s="4" t="s">
        <v>4734</v>
      </c>
      <c r="B1012" s="4" t="s">
        <v>2732</v>
      </c>
      <c r="C1012" s="4" t="s">
        <v>4735</v>
      </c>
      <c r="D1012" s="4" t="s">
        <v>4736</v>
      </c>
      <c r="E1012" s="4" t="s">
        <v>4737</v>
      </c>
      <c r="F1012" s="4" t="s">
        <v>4738</v>
      </c>
      <c r="G1012" s="4" t="s">
        <v>47</v>
      </c>
      <c r="H1012" s="4" t="s">
        <v>4739</v>
      </c>
      <c r="I1012">
        <f t="shared" si="30"/>
        <v>140.93</v>
      </c>
      <c r="J1012" t="str">
        <f t="shared" si="31"/>
        <v>VERIFICAR</v>
      </c>
    </row>
    <row r="1013" spans="1:10" ht="15" customHeight="1" x14ac:dyDescent="0.2">
      <c r="A1013" s="3" t="s">
        <v>4740</v>
      </c>
      <c r="B1013" s="3" t="s">
        <v>4741</v>
      </c>
      <c r="C1013" s="3" t="s">
        <v>4742</v>
      </c>
      <c r="D1013" s="3" t="s">
        <v>4743</v>
      </c>
      <c r="E1013" s="3" t="s">
        <v>4744</v>
      </c>
      <c r="F1013" s="3" t="s">
        <v>4745</v>
      </c>
      <c r="G1013" s="3" t="s">
        <v>47</v>
      </c>
      <c r="H1013" s="3" t="s">
        <v>4746</v>
      </c>
      <c r="I1013">
        <f t="shared" si="30"/>
        <v>381.72</v>
      </c>
      <c r="J1013" t="str">
        <f t="shared" si="31"/>
        <v>VERIFICAR</v>
      </c>
    </row>
    <row r="1014" spans="1:10" ht="15" customHeight="1" x14ac:dyDescent="0.2">
      <c r="A1014" s="4" t="s">
        <v>4747</v>
      </c>
      <c r="B1014" s="4" t="s">
        <v>4748</v>
      </c>
      <c r="C1014" s="4" t="s">
        <v>4749</v>
      </c>
      <c r="D1014" s="4" t="s">
        <v>4750</v>
      </c>
      <c r="E1014" s="4" t="s">
        <v>4751</v>
      </c>
      <c r="F1014" s="4" t="s">
        <v>4752</v>
      </c>
      <c r="G1014" s="4" t="s">
        <v>47</v>
      </c>
      <c r="H1014" s="4" t="s">
        <v>4752</v>
      </c>
      <c r="I1014">
        <f t="shared" si="30"/>
        <v>934.27</v>
      </c>
      <c r="J1014" t="str">
        <f t="shared" si="31"/>
        <v>VERIFICAR</v>
      </c>
    </row>
    <row r="1015" spans="1:10" ht="15" customHeight="1" x14ac:dyDescent="0.2">
      <c r="A1015" s="3" t="s">
        <v>4753</v>
      </c>
      <c r="B1015" s="3" t="s">
        <v>4754</v>
      </c>
      <c r="C1015" s="3" t="s">
        <v>4755</v>
      </c>
      <c r="D1015" s="3" t="s">
        <v>4756</v>
      </c>
      <c r="E1015" s="3" t="s">
        <v>4757</v>
      </c>
      <c r="F1015" s="3" t="s">
        <v>4758</v>
      </c>
      <c r="G1015" s="3" t="s">
        <v>47</v>
      </c>
      <c r="H1015" s="3" t="s">
        <v>4759</v>
      </c>
      <c r="I1015">
        <f t="shared" si="30"/>
        <v>258.12</v>
      </c>
      <c r="J1015" t="str">
        <f t="shared" si="31"/>
        <v>VERIFICAR</v>
      </c>
    </row>
    <row r="1016" spans="1:10" ht="15" customHeight="1" x14ac:dyDescent="0.2">
      <c r="A1016" s="4" t="s">
        <v>4760</v>
      </c>
      <c r="B1016" s="4" t="s">
        <v>4761</v>
      </c>
      <c r="C1016" s="4" t="s">
        <v>4762</v>
      </c>
      <c r="D1016" s="4" t="s">
        <v>4763</v>
      </c>
      <c r="E1016" s="4" t="s">
        <v>4764</v>
      </c>
      <c r="F1016" s="4" t="s">
        <v>4765</v>
      </c>
      <c r="G1016" s="4" t="s">
        <v>47</v>
      </c>
      <c r="H1016" s="4" t="s">
        <v>4766</v>
      </c>
      <c r="I1016">
        <f t="shared" si="30"/>
        <v>5800.57</v>
      </c>
      <c r="J1016" t="str">
        <f t="shared" si="31"/>
        <v>VERIFICAR</v>
      </c>
    </row>
    <row r="1017" spans="1:10" ht="15" customHeight="1" x14ac:dyDescent="0.2">
      <c r="A1017" s="3" t="s">
        <v>4767</v>
      </c>
      <c r="B1017" s="3" t="s">
        <v>4768</v>
      </c>
      <c r="C1017" s="3" t="s">
        <v>4769</v>
      </c>
      <c r="D1017" s="3" t="s">
        <v>4770</v>
      </c>
      <c r="E1017" s="3" t="s">
        <v>4771</v>
      </c>
      <c r="F1017" s="3" t="s">
        <v>4772</v>
      </c>
      <c r="G1017" s="3" t="s">
        <v>47</v>
      </c>
      <c r="H1017" s="3" t="s">
        <v>4773</v>
      </c>
      <c r="I1017">
        <f t="shared" si="30"/>
        <v>365.98</v>
      </c>
      <c r="J1017" t="str">
        <f t="shared" si="31"/>
        <v>VERIFICAR</v>
      </c>
    </row>
    <row r="1018" spans="1:10" ht="15" customHeight="1" x14ac:dyDescent="0.2">
      <c r="A1018" s="4" t="s">
        <v>4774</v>
      </c>
      <c r="B1018" s="4" t="s">
        <v>4775</v>
      </c>
      <c r="C1018" s="4" t="s">
        <v>47</v>
      </c>
      <c r="D1018" s="4" t="s">
        <v>47</v>
      </c>
      <c r="E1018" s="4" t="s">
        <v>4776</v>
      </c>
      <c r="F1018" s="4" t="s">
        <v>4777</v>
      </c>
      <c r="G1018" s="4" t="s">
        <v>47</v>
      </c>
      <c r="H1018" s="4" t="s">
        <v>4778</v>
      </c>
      <c r="I1018">
        <f t="shared" si="30"/>
        <v>63952.01</v>
      </c>
      <c r="J1018" t="str">
        <f t="shared" si="31"/>
        <v>VERIFICAR</v>
      </c>
    </row>
    <row r="1019" spans="1:10" ht="15" customHeight="1" x14ac:dyDescent="0.2">
      <c r="A1019" s="3" t="s">
        <v>4779</v>
      </c>
      <c r="B1019" s="3" t="s">
        <v>4780</v>
      </c>
      <c r="C1019" s="3" t="s">
        <v>4781</v>
      </c>
      <c r="D1019" s="3" t="s">
        <v>4782</v>
      </c>
      <c r="E1019" s="3" t="s">
        <v>4783</v>
      </c>
      <c r="F1019" s="3" t="s">
        <v>4784</v>
      </c>
      <c r="G1019" s="3" t="s">
        <v>47</v>
      </c>
      <c r="H1019" s="3" t="s">
        <v>4785</v>
      </c>
      <c r="I1019">
        <f t="shared" si="30"/>
        <v>50881.919999999998</v>
      </c>
      <c r="J1019" t="str">
        <f t="shared" si="31"/>
        <v>VERIFICAR</v>
      </c>
    </row>
    <row r="1020" spans="1:10" ht="15" customHeight="1" x14ac:dyDescent="0.2">
      <c r="A1020" s="4" t="s">
        <v>4786</v>
      </c>
      <c r="B1020" s="4" t="s">
        <v>4787</v>
      </c>
      <c r="C1020" s="4" t="s">
        <v>4788</v>
      </c>
      <c r="D1020" s="4" t="s">
        <v>4789</v>
      </c>
      <c r="E1020" s="4" t="s">
        <v>4790</v>
      </c>
      <c r="F1020" s="4" t="s">
        <v>4791</v>
      </c>
      <c r="G1020" s="4" t="s">
        <v>47</v>
      </c>
      <c r="H1020" s="4" t="s">
        <v>4792</v>
      </c>
      <c r="I1020">
        <f t="shared" si="30"/>
        <v>10986.85</v>
      </c>
      <c r="J1020" t="str">
        <f t="shared" si="31"/>
        <v>VERIFICAR</v>
      </c>
    </row>
    <row r="1021" spans="1:10" ht="15" customHeight="1" x14ac:dyDescent="0.2">
      <c r="A1021" s="3" t="s">
        <v>4793</v>
      </c>
      <c r="B1021" s="3" t="s">
        <v>4794</v>
      </c>
      <c r="C1021" s="3" t="s">
        <v>4795</v>
      </c>
      <c r="D1021" s="3" t="s">
        <v>4796</v>
      </c>
      <c r="E1021" s="3" t="s">
        <v>47</v>
      </c>
      <c r="F1021" s="3" t="s">
        <v>4797</v>
      </c>
      <c r="G1021" s="3" t="s">
        <v>47</v>
      </c>
      <c r="H1021" s="3" t="s">
        <v>4798</v>
      </c>
      <c r="I1021">
        <f t="shared" si="30"/>
        <v>1614.07</v>
      </c>
      <c r="J1021" t="str">
        <f t="shared" si="31"/>
        <v>VERIFICAR</v>
      </c>
    </row>
    <row r="1022" spans="1:10" ht="15" customHeight="1" x14ac:dyDescent="0.2">
      <c r="A1022" s="4" t="s">
        <v>4799</v>
      </c>
      <c r="B1022" s="4" t="s">
        <v>4800</v>
      </c>
      <c r="C1022" s="4" t="s">
        <v>4801</v>
      </c>
      <c r="D1022" s="4" t="s">
        <v>4802</v>
      </c>
      <c r="E1022" s="4" t="s">
        <v>4803</v>
      </c>
      <c r="F1022" s="4" t="s">
        <v>4804</v>
      </c>
      <c r="G1022" s="4" t="s">
        <v>47</v>
      </c>
      <c r="H1022" s="4" t="s">
        <v>4804</v>
      </c>
      <c r="I1022">
        <f t="shared" si="30"/>
        <v>469.17</v>
      </c>
      <c r="J1022" t="str">
        <f t="shared" si="31"/>
        <v>VERIFICAR</v>
      </c>
    </row>
    <row r="1023" spans="1:10" ht="15" customHeight="1" x14ac:dyDescent="0.2">
      <c r="A1023" s="3" t="s">
        <v>4805</v>
      </c>
      <c r="B1023" s="3" t="s">
        <v>4806</v>
      </c>
      <c r="C1023" s="3" t="s">
        <v>47</v>
      </c>
      <c r="D1023" s="3" t="s">
        <v>47</v>
      </c>
      <c r="E1023" s="3" t="s">
        <v>4807</v>
      </c>
      <c r="F1023" s="3" t="s">
        <v>4808</v>
      </c>
      <c r="G1023" s="3" t="s">
        <v>47</v>
      </c>
      <c r="H1023" s="3" t="s">
        <v>4809</v>
      </c>
      <c r="I1023">
        <f t="shared" si="30"/>
        <v>200972.1</v>
      </c>
      <c r="J1023" t="str">
        <f t="shared" si="31"/>
        <v>VERIFICAR</v>
      </c>
    </row>
    <row r="1024" spans="1:10" ht="15" customHeight="1" x14ac:dyDescent="0.2">
      <c r="A1024" s="4" t="s">
        <v>4810</v>
      </c>
      <c r="B1024" s="4" t="s">
        <v>4811</v>
      </c>
      <c r="C1024" s="4" t="s">
        <v>47</v>
      </c>
      <c r="D1024" s="4" t="s">
        <v>47</v>
      </c>
      <c r="E1024" s="4" t="s">
        <v>4807</v>
      </c>
      <c r="F1024" s="4" t="s">
        <v>4812</v>
      </c>
      <c r="G1024" s="4" t="s">
        <v>47</v>
      </c>
      <c r="H1024" s="4" t="s">
        <v>4813</v>
      </c>
      <c r="I1024">
        <f t="shared" si="30"/>
        <v>130137.38</v>
      </c>
      <c r="J1024" t="str">
        <f t="shared" si="31"/>
        <v>VERIFICAR</v>
      </c>
    </row>
    <row r="1025" spans="1:10" ht="15" customHeight="1" x14ac:dyDescent="0.2">
      <c r="A1025" s="3" t="s">
        <v>4814</v>
      </c>
      <c r="B1025" s="3" t="s">
        <v>4815</v>
      </c>
      <c r="C1025" s="3" t="s">
        <v>4816</v>
      </c>
      <c r="D1025" s="3" t="s">
        <v>4817</v>
      </c>
      <c r="E1025" s="3" t="s">
        <v>4807</v>
      </c>
      <c r="F1025" s="3" t="s">
        <v>4812</v>
      </c>
      <c r="G1025" s="3" t="s">
        <v>47</v>
      </c>
      <c r="H1025" s="3" t="s">
        <v>4813</v>
      </c>
      <c r="I1025">
        <f t="shared" si="30"/>
        <v>130137.38</v>
      </c>
      <c r="J1025" t="str">
        <f t="shared" si="31"/>
        <v>VERIFICAR</v>
      </c>
    </row>
    <row r="1026" spans="1:10" ht="15" customHeight="1" x14ac:dyDescent="0.2">
      <c r="A1026" s="4" t="s">
        <v>4818</v>
      </c>
      <c r="B1026" s="4" t="s">
        <v>4819</v>
      </c>
      <c r="C1026" s="4" t="s">
        <v>47</v>
      </c>
      <c r="D1026" s="4" t="s">
        <v>47</v>
      </c>
      <c r="E1026" s="4" t="s">
        <v>47</v>
      </c>
      <c r="F1026" s="4" t="s">
        <v>4820</v>
      </c>
      <c r="G1026" s="4" t="s">
        <v>47</v>
      </c>
      <c r="H1026" s="4" t="s">
        <v>4821</v>
      </c>
      <c r="I1026">
        <f t="shared" si="30"/>
        <v>70834.720000000001</v>
      </c>
      <c r="J1026" t="str">
        <f t="shared" si="31"/>
        <v>VERIFICAR</v>
      </c>
    </row>
    <row r="1027" spans="1:10" ht="15" customHeight="1" x14ac:dyDescent="0.2">
      <c r="A1027" s="3" t="s">
        <v>4822</v>
      </c>
      <c r="B1027" s="3" t="s">
        <v>4823</v>
      </c>
      <c r="C1027" s="3" t="s">
        <v>4824</v>
      </c>
      <c r="D1027" s="3" t="s">
        <v>4825</v>
      </c>
      <c r="E1027" s="3" t="s">
        <v>47</v>
      </c>
      <c r="F1027" s="3" t="s">
        <v>4820</v>
      </c>
      <c r="G1027" s="3" t="s">
        <v>47</v>
      </c>
      <c r="H1027" s="3" t="s">
        <v>4821</v>
      </c>
      <c r="I1027">
        <f t="shared" si="30"/>
        <v>70834.720000000001</v>
      </c>
      <c r="J1027" t="str">
        <f t="shared" si="31"/>
        <v>VERIFICAR</v>
      </c>
    </row>
    <row r="1028" spans="1:10" ht="15" customHeight="1" x14ac:dyDescent="0.2">
      <c r="A1028" s="4" t="s">
        <v>4826</v>
      </c>
      <c r="B1028" s="4" t="s">
        <v>4827</v>
      </c>
      <c r="C1028" s="4" t="s">
        <v>47</v>
      </c>
      <c r="D1028" s="4" t="s">
        <v>47</v>
      </c>
      <c r="E1028" s="4" t="s">
        <v>4828</v>
      </c>
      <c r="F1028" s="4" t="s">
        <v>4829</v>
      </c>
      <c r="G1028" s="4" t="s">
        <v>47</v>
      </c>
      <c r="H1028" s="4" t="s">
        <v>4830</v>
      </c>
      <c r="I1028">
        <f t="shared" ref="I1028:I1091" si="32">IF(MID(A1028,1,1)="1",G1028-H1028,IF(MID(A1028,1,1)="2",H1028-G1028,"VERIFICAR"))</f>
        <v>214803.92</v>
      </c>
      <c r="J1028" t="str">
        <f t="shared" ref="J1028:J1091" si="33">IF(MID(A1028,1,1)="1",H1028-I1028,IF(MID(B1028,1,1)="2",I1028-H1028,IF(MID(A1028,1,1)="3",F1028-E1028,IF(MID(A1028,1,1)="4",E1028-F1028,"VERIFICAR"))))</f>
        <v>VERIFICAR</v>
      </c>
    </row>
    <row r="1029" spans="1:10" ht="15" customHeight="1" x14ac:dyDescent="0.2">
      <c r="A1029" s="3" t="s">
        <v>4831</v>
      </c>
      <c r="B1029" s="3" t="s">
        <v>4832</v>
      </c>
      <c r="C1029" s="3" t="s">
        <v>47</v>
      </c>
      <c r="D1029" s="3" t="s">
        <v>47</v>
      </c>
      <c r="E1029" s="3" t="s">
        <v>4828</v>
      </c>
      <c r="F1029" s="3" t="s">
        <v>4829</v>
      </c>
      <c r="G1029" s="3" t="s">
        <v>47</v>
      </c>
      <c r="H1029" s="3" t="s">
        <v>4830</v>
      </c>
      <c r="I1029">
        <f t="shared" si="32"/>
        <v>214803.92</v>
      </c>
      <c r="J1029" t="str">
        <f t="shared" si="33"/>
        <v>VERIFICAR</v>
      </c>
    </row>
    <row r="1030" spans="1:10" ht="15" customHeight="1" x14ac:dyDescent="0.2">
      <c r="A1030" s="4" t="s">
        <v>4833</v>
      </c>
      <c r="B1030" s="4" t="s">
        <v>4834</v>
      </c>
      <c r="C1030" s="4" t="s">
        <v>4835</v>
      </c>
      <c r="D1030" s="4" t="s">
        <v>4836</v>
      </c>
      <c r="E1030" s="4" t="s">
        <v>4837</v>
      </c>
      <c r="F1030" s="4" t="s">
        <v>4838</v>
      </c>
      <c r="G1030" s="4" t="s">
        <v>47</v>
      </c>
      <c r="H1030" s="4" t="s">
        <v>4839</v>
      </c>
      <c r="I1030">
        <f t="shared" si="32"/>
        <v>10740.2</v>
      </c>
      <c r="J1030" t="str">
        <f t="shared" si="33"/>
        <v>VERIFICAR</v>
      </c>
    </row>
    <row r="1031" spans="1:10" ht="15" customHeight="1" x14ac:dyDescent="0.2">
      <c r="A1031" s="3" t="s">
        <v>4840</v>
      </c>
      <c r="B1031" s="3" t="s">
        <v>3131</v>
      </c>
      <c r="C1031" s="3" t="s">
        <v>4841</v>
      </c>
      <c r="D1031" s="3" t="s">
        <v>4842</v>
      </c>
      <c r="E1031" s="3" t="s">
        <v>4843</v>
      </c>
      <c r="F1031" s="3" t="s">
        <v>4844</v>
      </c>
      <c r="G1031" s="3" t="s">
        <v>47</v>
      </c>
      <c r="H1031" s="3" t="s">
        <v>4845</v>
      </c>
      <c r="I1031">
        <f t="shared" si="32"/>
        <v>9666.14</v>
      </c>
      <c r="J1031" t="str">
        <f t="shared" si="33"/>
        <v>VERIFICAR</v>
      </c>
    </row>
    <row r="1032" spans="1:10" ht="15" customHeight="1" x14ac:dyDescent="0.2">
      <c r="A1032" s="4" t="s">
        <v>4846</v>
      </c>
      <c r="B1032" s="4" t="s">
        <v>4847</v>
      </c>
      <c r="C1032" s="4" t="s">
        <v>4848</v>
      </c>
      <c r="D1032" s="4" t="s">
        <v>4849</v>
      </c>
      <c r="E1032" s="4" t="s">
        <v>4850</v>
      </c>
      <c r="F1032" s="4" t="s">
        <v>4851</v>
      </c>
      <c r="G1032" s="4" t="s">
        <v>47</v>
      </c>
      <c r="H1032" s="4" t="s">
        <v>4839</v>
      </c>
      <c r="I1032">
        <f t="shared" si="32"/>
        <v>10740.2</v>
      </c>
      <c r="J1032" t="str">
        <f t="shared" si="33"/>
        <v>VERIFICAR</v>
      </c>
    </row>
    <row r="1033" spans="1:10" ht="15" customHeight="1" x14ac:dyDescent="0.2">
      <c r="A1033" s="3" t="s">
        <v>4852</v>
      </c>
      <c r="B1033" s="3" t="s">
        <v>4853</v>
      </c>
      <c r="C1033" s="3" t="s">
        <v>4854</v>
      </c>
      <c r="D1033" s="3" t="s">
        <v>4855</v>
      </c>
      <c r="E1033" s="3" t="s">
        <v>4856</v>
      </c>
      <c r="F1033" s="3" t="s">
        <v>47</v>
      </c>
      <c r="G1033" s="3" t="s">
        <v>47</v>
      </c>
      <c r="H1033" s="3" t="s">
        <v>4857</v>
      </c>
      <c r="I1033">
        <f t="shared" si="32"/>
        <v>183657.38</v>
      </c>
      <c r="J1033" t="str">
        <f t="shared" si="33"/>
        <v>VERIFICAR</v>
      </c>
    </row>
    <row r="1034" spans="1:10" ht="15" customHeight="1" x14ac:dyDescent="0.2">
      <c r="A1034" s="4" t="s">
        <v>4858</v>
      </c>
      <c r="B1034" s="4" t="s">
        <v>4859</v>
      </c>
      <c r="C1034" s="4" t="s">
        <v>47</v>
      </c>
      <c r="D1034" s="4" t="s">
        <v>47</v>
      </c>
      <c r="E1034" s="4" t="s">
        <v>4860</v>
      </c>
      <c r="F1034" s="4" t="s">
        <v>4861</v>
      </c>
      <c r="G1034" s="4" t="s">
        <v>47</v>
      </c>
      <c r="H1034" s="4" t="s">
        <v>4862</v>
      </c>
      <c r="I1034">
        <f t="shared" si="32"/>
        <v>720965.18</v>
      </c>
      <c r="J1034" t="str">
        <f t="shared" si="33"/>
        <v>VERIFICAR</v>
      </c>
    </row>
    <row r="1035" spans="1:10" ht="15" customHeight="1" x14ac:dyDescent="0.2">
      <c r="A1035" s="3" t="s">
        <v>4863</v>
      </c>
      <c r="B1035" s="3" t="s">
        <v>4859</v>
      </c>
      <c r="C1035" s="3" t="s">
        <v>47</v>
      </c>
      <c r="D1035" s="3" t="s">
        <v>47</v>
      </c>
      <c r="E1035" s="3" t="s">
        <v>4860</v>
      </c>
      <c r="F1035" s="3" t="s">
        <v>4861</v>
      </c>
      <c r="G1035" s="3" t="s">
        <v>47</v>
      </c>
      <c r="H1035" s="3" t="s">
        <v>4862</v>
      </c>
      <c r="I1035">
        <f t="shared" si="32"/>
        <v>720965.18</v>
      </c>
      <c r="J1035" t="str">
        <f t="shared" si="33"/>
        <v>VERIFICAR</v>
      </c>
    </row>
    <row r="1036" spans="1:10" ht="15" customHeight="1" x14ac:dyDescent="0.2">
      <c r="A1036" s="4" t="s">
        <v>4864</v>
      </c>
      <c r="B1036" s="4" t="s">
        <v>4865</v>
      </c>
      <c r="C1036" s="4" t="s">
        <v>4866</v>
      </c>
      <c r="D1036" s="4" t="s">
        <v>4867</v>
      </c>
      <c r="E1036" s="4" t="s">
        <v>4868</v>
      </c>
      <c r="F1036" s="4" t="s">
        <v>4869</v>
      </c>
      <c r="G1036" s="4" t="s">
        <v>47</v>
      </c>
      <c r="H1036" s="4" t="s">
        <v>4870</v>
      </c>
      <c r="I1036">
        <f t="shared" si="32"/>
        <v>627373.62</v>
      </c>
      <c r="J1036" t="str">
        <f t="shared" si="33"/>
        <v>VERIFICAR</v>
      </c>
    </row>
    <row r="1037" spans="1:10" ht="15" customHeight="1" x14ac:dyDescent="0.2">
      <c r="A1037" s="3" t="s">
        <v>4871</v>
      </c>
      <c r="B1037" s="3" t="s">
        <v>4872</v>
      </c>
      <c r="C1037" s="3" t="s">
        <v>4873</v>
      </c>
      <c r="D1037" s="3" t="s">
        <v>4874</v>
      </c>
      <c r="E1037" s="3" t="s">
        <v>1739</v>
      </c>
      <c r="F1037" s="3" t="s">
        <v>1032</v>
      </c>
      <c r="G1037" s="3" t="s">
        <v>47</v>
      </c>
      <c r="H1037" s="3" t="s">
        <v>4875</v>
      </c>
      <c r="I1037">
        <f t="shared" si="32"/>
        <v>93591.56</v>
      </c>
      <c r="J1037" t="str">
        <f t="shared" si="33"/>
        <v>VERIFICAR</v>
      </c>
    </row>
    <row r="1038" spans="1:10" ht="15" customHeight="1" x14ac:dyDescent="0.2">
      <c r="A1038" s="4" t="s">
        <v>4876</v>
      </c>
      <c r="B1038" s="4" t="s">
        <v>2897</v>
      </c>
      <c r="C1038" s="4" t="s">
        <v>47</v>
      </c>
      <c r="D1038" s="4" t="s">
        <v>47</v>
      </c>
      <c r="E1038" s="4" t="s">
        <v>4877</v>
      </c>
      <c r="F1038" s="4" t="s">
        <v>4635</v>
      </c>
      <c r="G1038" s="4" t="s">
        <v>47</v>
      </c>
      <c r="H1038" s="4" t="s">
        <v>4878</v>
      </c>
      <c r="I1038">
        <f t="shared" si="32"/>
        <v>1098983.32</v>
      </c>
      <c r="J1038" t="str">
        <f t="shared" si="33"/>
        <v>VERIFICAR</v>
      </c>
    </row>
    <row r="1039" spans="1:10" ht="15" customHeight="1" x14ac:dyDescent="0.2">
      <c r="A1039" s="3" t="s">
        <v>4879</v>
      </c>
      <c r="B1039" s="3" t="s">
        <v>4880</v>
      </c>
      <c r="C1039" s="3" t="s">
        <v>47</v>
      </c>
      <c r="D1039" s="3" t="s">
        <v>47</v>
      </c>
      <c r="E1039" s="3" t="s">
        <v>4877</v>
      </c>
      <c r="F1039" s="3" t="s">
        <v>4635</v>
      </c>
      <c r="G1039" s="3" t="s">
        <v>47</v>
      </c>
      <c r="H1039" s="3" t="s">
        <v>4878</v>
      </c>
      <c r="I1039">
        <f t="shared" si="32"/>
        <v>1098983.32</v>
      </c>
      <c r="J1039" t="str">
        <f t="shared" si="33"/>
        <v>VERIFICAR</v>
      </c>
    </row>
    <row r="1040" spans="1:10" ht="15" customHeight="1" x14ac:dyDescent="0.2">
      <c r="A1040" s="4" t="s">
        <v>4881</v>
      </c>
      <c r="B1040" s="4" t="s">
        <v>4880</v>
      </c>
      <c r="C1040" s="4" t="s">
        <v>47</v>
      </c>
      <c r="D1040" s="4" t="s">
        <v>47</v>
      </c>
      <c r="E1040" s="4" t="s">
        <v>4877</v>
      </c>
      <c r="F1040" s="4" t="s">
        <v>4635</v>
      </c>
      <c r="G1040" s="4" t="s">
        <v>47</v>
      </c>
      <c r="H1040" s="4" t="s">
        <v>4878</v>
      </c>
      <c r="I1040">
        <f t="shared" si="32"/>
        <v>1098983.32</v>
      </c>
      <c r="J1040" t="str">
        <f t="shared" si="33"/>
        <v>VERIFICAR</v>
      </c>
    </row>
    <row r="1041" spans="1:10" ht="15" customHeight="1" x14ac:dyDescent="0.2">
      <c r="A1041" s="3" t="s">
        <v>4882</v>
      </c>
      <c r="B1041" s="3" t="s">
        <v>4883</v>
      </c>
      <c r="C1041" s="3" t="s">
        <v>47</v>
      </c>
      <c r="D1041" s="3" t="s">
        <v>47</v>
      </c>
      <c r="E1041" s="3" t="s">
        <v>4877</v>
      </c>
      <c r="F1041" s="3" t="s">
        <v>4635</v>
      </c>
      <c r="G1041" s="3" t="s">
        <v>47</v>
      </c>
      <c r="H1041" s="3" t="s">
        <v>4878</v>
      </c>
      <c r="I1041">
        <f t="shared" si="32"/>
        <v>1098983.32</v>
      </c>
      <c r="J1041" t="str">
        <f t="shared" si="33"/>
        <v>VERIFICAR</v>
      </c>
    </row>
    <row r="1042" spans="1:10" ht="15" customHeight="1" x14ac:dyDescent="0.2">
      <c r="A1042" s="4" t="s">
        <v>4884</v>
      </c>
      <c r="B1042" s="4" t="s">
        <v>4885</v>
      </c>
      <c r="C1042" s="4" t="s">
        <v>4886</v>
      </c>
      <c r="D1042" s="4" t="s">
        <v>4887</v>
      </c>
      <c r="E1042" s="4" t="s">
        <v>4618</v>
      </c>
      <c r="F1042" s="4" t="s">
        <v>47</v>
      </c>
      <c r="G1042" s="4" t="s">
        <v>47</v>
      </c>
      <c r="H1042" s="4" t="s">
        <v>4888</v>
      </c>
      <c r="I1042">
        <f t="shared" si="32"/>
        <v>83333.41</v>
      </c>
      <c r="J1042" t="str">
        <f t="shared" si="33"/>
        <v>VERIFICAR</v>
      </c>
    </row>
    <row r="1043" spans="1:10" ht="15" customHeight="1" x14ac:dyDescent="0.2">
      <c r="A1043" s="3" t="s">
        <v>4889</v>
      </c>
      <c r="B1043" s="3" t="s">
        <v>4890</v>
      </c>
      <c r="C1043" s="3" t="s">
        <v>4891</v>
      </c>
      <c r="D1043" s="3" t="s">
        <v>4892</v>
      </c>
      <c r="E1043" s="3" t="s">
        <v>4592</v>
      </c>
      <c r="F1043" s="3" t="s">
        <v>47</v>
      </c>
      <c r="G1043" s="3" t="s">
        <v>47</v>
      </c>
      <c r="H1043" s="3" t="s">
        <v>4893</v>
      </c>
      <c r="I1043">
        <f t="shared" si="32"/>
        <v>268316.79999999999</v>
      </c>
      <c r="J1043" t="str">
        <f t="shared" si="33"/>
        <v>VERIFICAR</v>
      </c>
    </row>
    <row r="1044" spans="1:10" ht="15" customHeight="1" x14ac:dyDescent="0.2">
      <c r="A1044" s="4" t="s">
        <v>4894</v>
      </c>
      <c r="B1044" s="4" t="s">
        <v>4895</v>
      </c>
      <c r="C1044" s="4" t="s">
        <v>4896</v>
      </c>
      <c r="D1044" s="4" t="s">
        <v>4897</v>
      </c>
      <c r="E1044" s="4" t="s">
        <v>4624</v>
      </c>
      <c r="F1044" s="4" t="s">
        <v>47</v>
      </c>
      <c r="G1044" s="4" t="s">
        <v>47</v>
      </c>
      <c r="H1044" s="4" t="s">
        <v>4898</v>
      </c>
      <c r="I1044">
        <f t="shared" si="32"/>
        <v>95953.14</v>
      </c>
      <c r="J1044" t="str">
        <f t="shared" si="33"/>
        <v>VERIFICAR</v>
      </c>
    </row>
    <row r="1045" spans="1:10" ht="15" customHeight="1" x14ac:dyDescent="0.2">
      <c r="A1045" s="3" t="s">
        <v>4899</v>
      </c>
      <c r="B1045" s="3" t="s">
        <v>4900</v>
      </c>
      <c r="C1045" s="3" t="s">
        <v>4901</v>
      </c>
      <c r="D1045" s="3" t="s">
        <v>4902</v>
      </c>
      <c r="E1045" s="3" t="s">
        <v>47</v>
      </c>
      <c r="F1045" s="3" t="s">
        <v>47</v>
      </c>
      <c r="G1045" s="3" t="s">
        <v>47</v>
      </c>
      <c r="H1045" s="3" t="s">
        <v>4903</v>
      </c>
      <c r="I1045">
        <f t="shared" si="32"/>
        <v>285026.65000000002</v>
      </c>
      <c r="J1045" t="str">
        <f t="shared" si="33"/>
        <v>VERIFICAR</v>
      </c>
    </row>
    <row r="1046" spans="1:10" ht="15" customHeight="1" x14ac:dyDescent="0.2">
      <c r="A1046" s="4" t="s">
        <v>4904</v>
      </c>
      <c r="B1046" s="4" t="s">
        <v>4905</v>
      </c>
      <c r="C1046" s="4" t="s">
        <v>47</v>
      </c>
      <c r="D1046" s="4" t="s">
        <v>4906</v>
      </c>
      <c r="E1046" s="4" t="s">
        <v>4907</v>
      </c>
      <c r="F1046" s="4" t="s">
        <v>47</v>
      </c>
      <c r="G1046" s="4" t="s">
        <v>47</v>
      </c>
      <c r="H1046" s="4" t="s">
        <v>4908</v>
      </c>
      <c r="I1046">
        <f t="shared" si="32"/>
        <v>224853.42</v>
      </c>
      <c r="J1046" t="str">
        <f t="shared" si="33"/>
        <v>VERIFICAR</v>
      </c>
    </row>
    <row r="1047" spans="1:10" ht="15" customHeight="1" x14ac:dyDescent="0.2">
      <c r="A1047" s="3" t="s">
        <v>4909</v>
      </c>
      <c r="B1047" s="3" t="s">
        <v>4910</v>
      </c>
      <c r="C1047" s="3" t="s">
        <v>47</v>
      </c>
      <c r="D1047" s="3" t="s">
        <v>47</v>
      </c>
      <c r="E1047" s="3" t="s">
        <v>47</v>
      </c>
      <c r="F1047" s="3" t="s">
        <v>4635</v>
      </c>
      <c r="G1047" s="3" t="s">
        <v>47</v>
      </c>
      <c r="H1047" s="3" t="s">
        <v>4635</v>
      </c>
      <c r="I1047">
        <f t="shared" si="32"/>
        <v>141499.9</v>
      </c>
      <c r="J1047" t="str">
        <f t="shared" si="33"/>
        <v>VERIFICAR</v>
      </c>
    </row>
    <row r="1048" spans="1:10" ht="15" customHeight="1" x14ac:dyDescent="0.2">
      <c r="A1048" s="4" t="s">
        <v>4911</v>
      </c>
      <c r="B1048" s="4" t="s">
        <v>4912</v>
      </c>
      <c r="C1048" s="4" t="s">
        <v>47</v>
      </c>
      <c r="D1048" s="4" t="s">
        <v>47</v>
      </c>
      <c r="E1048" s="4" t="s">
        <v>4829</v>
      </c>
      <c r="F1048" s="4" t="s">
        <v>47</v>
      </c>
      <c r="G1048" s="4" t="s">
        <v>47</v>
      </c>
      <c r="H1048" s="4" t="s">
        <v>4913</v>
      </c>
      <c r="I1048">
        <f t="shared" si="32"/>
        <v>4707101.74</v>
      </c>
      <c r="J1048" t="str">
        <f t="shared" si="33"/>
        <v>VERIFICAR</v>
      </c>
    </row>
    <row r="1049" spans="1:10" ht="15" customHeight="1" x14ac:dyDescent="0.2">
      <c r="A1049" s="3" t="s">
        <v>4914</v>
      </c>
      <c r="B1049" s="3" t="s">
        <v>4915</v>
      </c>
      <c r="C1049" s="3" t="s">
        <v>47</v>
      </c>
      <c r="D1049" s="3" t="s">
        <v>47</v>
      </c>
      <c r="E1049" s="3" t="s">
        <v>47</v>
      </c>
      <c r="F1049" s="3" t="s">
        <v>47</v>
      </c>
      <c r="G1049" s="3" t="s">
        <v>47</v>
      </c>
      <c r="H1049" s="3" t="s">
        <v>4916</v>
      </c>
      <c r="I1049">
        <f t="shared" si="32"/>
        <v>5000000</v>
      </c>
      <c r="J1049" t="str">
        <f t="shared" si="33"/>
        <v>VERIFICAR</v>
      </c>
    </row>
    <row r="1050" spans="1:10" ht="15" customHeight="1" x14ac:dyDescent="0.2">
      <c r="A1050" s="4" t="s">
        <v>4917</v>
      </c>
      <c r="B1050" s="4" t="s">
        <v>4918</v>
      </c>
      <c r="C1050" s="4" t="s">
        <v>47</v>
      </c>
      <c r="D1050" s="4" t="s">
        <v>47</v>
      </c>
      <c r="E1050" s="4" t="s">
        <v>47</v>
      </c>
      <c r="F1050" s="4" t="s">
        <v>47</v>
      </c>
      <c r="G1050" s="4" t="s">
        <v>47</v>
      </c>
      <c r="H1050" s="4" t="s">
        <v>4916</v>
      </c>
      <c r="I1050">
        <f t="shared" si="32"/>
        <v>5000000</v>
      </c>
      <c r="J1050" t="str">
        <f t="shared" si="33"/>
        <v>VERIFICAR</v>
      </c>
    </row>
    <row r="1051" spans="1:10" ht="15" customHeight="1" x14ac:dyDescent="0.2">
      <c r="A1051" s="3" t="s">
        <v>4919</v>
      </c>
      <c r="B1051" s="3" t="s">
        <v>4920</v>
      </c>
      <c r="C1051" s="3" t="s">
        <v>47</v>
      </c>
      <c r="D1051" s="3" t="s">
        <v>47</v>
      </c>
      <c r="E1051" s="3" t="s">
        <v>47</v>
      </c>
      <c r="F1051" s="3" t="s">
        <v>47</v>
      </c>
      <c r="G1051" s="3" t="s">
        <v>47</v>
      </c>
      <c r="H1051" s="3" t="s">
        <v>4916</v>
      </c>
      <c r="I1051">
        <f t="shared" si="32"/>
        <v>5000000</v>
      </c>
      <c r="J1051" t="str">
        <f t="shared" si="33"/>
        <v>VERIFICAR</v>
      </c>
    </row>
    <row r="1052" spans="1:10" ht="15" customHeight="1" x14ac:dyDescent="0.2">
      <c r="A1052" s="4" t="s">
        <v>4921</v>
      </c>
      <c r="B1052" s="4" t="s">
        <v>4915</v>
      </c>
      <c r="C1052" s="4" t="s">
        <v>47</v>
      </c>
      <c r="D1052" s="4" t="s">
        <v>4916</v>
      </c>
      <c r="E1052" s="4" t="s">
        <v>47</v>
      </c>
      <c r="F1052" s="4" t="s">
        <v>47</v>
      </c>
      <c r="G1052" s="4" t="s">
        <v>47</v>
      </c>
      <c r="H1052" s="4" t="s">
        <v>4916</v>
      </c>
      <c r="I1052">
        <f t="shared" si="32"/>
        <v>5000000</v>
      </c>
      <c r="J1052" t="str">
        <f t="shared" si="33"/>
        <v>VERIFICAR</v>
      </c>
    </row>
    <row r="1053" spans="1:10" ht="15" customHeight="1" x14ac:dyDescent="0.2">
      <c r="A1053" s="3" t="s">
        <v>4922</v>
      </c>
      <c r="B1053" s="3" t="s">
        <v>4923</v>
      </c>
      <c r="C1053" s="3" t="s">
        <v>47</v>
      </c>
      <c r="D1053" s="3" t="s">
        <v>47</v>
      </c>
      <c r="E1053" s="3" t="s">
        <v>47</v>
      </c>
      <c r="F1053" s="3" t="s">
        <v>47</v>
      </c>
      <c r="G1053" s="3" t="s">
        <v>47</v>
      </c>
      <c r="H1053" s="3" t="s">
        <v>4924</v>
      </c>
      <c r="I1053">
        <f t="shared" si="32"/>
        <v>99754.3</v>
      </c>
      <c r="J1053" t="str">
        <f t="shared" si="33"/>
        <v>VERIFICAR</v>
      </c>
    </row>
    <row r="1054" spans="1:10" ht="15" customHeight="1" x14ac:dyDescent="0.2">
      <c r="A1054" s="4" t="s">
        <v>4925</v>
      </c>
      <c r="B1054" s="4" t="s">
        <v>4923</v>
      </c>
      <c r="C1054" s="4" t="s">
        <v>47</v>
      </c>
      <c r="D1054" s="4" t="s">
        <v>47</v>
      </c>
      <c r="E1054" s="4" t="s">
        <v>47</v>
      </c>
      <c r="F1054" s="4" t="s">
        <v>47</v>
      </c>
      <c r="G1054" s="4" t="s">
        <v>47</v>
      </c>
      <c r="H1054" s="4" t="s">
        <v>4924</v>
      </c>
      <c r="I1054">
        <f t="shared" si="32"/>
        <v>99754.3</v>
      </c>
      <c r="J1054" t="str">
        <f t="shared" si="33"/>
        <v>VERIFICAR</v>
      </c>
    </row>
    <row r="1055" spans="1:10" ht="15" customHeight="1" x14ac:dyDescent="0.2">
      <c r="A1055" s="3" t="s">
        <v>4926</v>
      </c>
      <c r="B1055" s="3" t="s">
        <v>4927</v>
      </c>
      <c r="C1055" s="3" t="s">
        <v>47</v>
      </c>
      <c r="D1055" s="3" t="s">
        <v>47</v>
      </c>
      <c r="E1055" s="3" t="s">
        <v>47</v>
      </c>
      <c r="F1055" s="3" t="s">
        <v>47</v>
      </c>
      <c r="G1055" s="3" t="s">
        <v>47</v>
      </c>
      <c r="H1055" s="3" t="s">
        <v>4924</v>
      </c>
      <c r="I1055">
        <f t="shared" si="32"/>
        <v>99754.3</v>
      </c>
      <c r="J1055" t="str">
        <f t="shared" si="33"/>
        <v>VERIFICAR</v>
      </c>
    </row>
    <row r="1056" spans="1:10" ht="15" customHeight="1" x14ac:dyDescent="0.2">
      <c r="A1056" s="4" t="s">
        <v>4928</v>
      </c>
      <c r="B1056" s="4" t="s">
        <v>4929</v>
      </c>
      <c r="C1056" s="4" t="s">
        <v>4930</v>
      </c>
      <c r="D1056" s="4" t="s">
        <v>4931</v>
      </c>
      <c r="E1056" s="4" t="s">
        <v>47</v>
      </c>
      <c r="F1056" s="4" t="s">
        <v>47</v>
      </c>
      <c r="G1056" s="4" t="s">
        <v>47</v>
      </c>
      <c r="H1056" s="4" t="s">
        <v>4932</v>
      </c>
      <c r="I1056">
        <f t="shared" si="32"/>
        <v>116872.92</v>
      </c>
      <c r="J1056" t="str">
        <f t="shared" si="33"/>
        <v>VERIFICAR</v>
      </c>
    </row>
    <row r="1057" spans="1:10" ht="15" customHeight="1" x14ac:dyDescent="0.2">
      <c r="A1057" s="3" t="s">
        <v>4933</v>
      </c>
      <c r="B1057" s="3" t="s">
        <v>4934</v>
      </c>
      <c r="C1057" s="3" t="s">
        <v>4935</v>
      </c>
      <c r="D1057" s="3" t="s">
        <v>4936</v>
      </c>
      <c r="E1057" s="3" t="s">
        <v>47</v>
      </c>
      <c r="F1057" s="3" t="s">
        <v>47</v>
      </c>
      <c r="G1057" s="3" t="s">
        <v>4937</v>
      </c>
      <c r="H1057" s="3" t="s">
        <v>47</v>
      </c>
      <c r="I1057">
        <f t="shared" si="32"/>
        <v>-17118.62</v>
      </c>
      <c r="J1057" t="str">
        <f t="shared" si="33"/>
        <v>VERIFICAR</v>
      </c>
    </row>
    <row r="1058" spans="1:10" ht="15" customHeight="1" x14ac:dyDescent="0.2">
      <c r="A1058" s="4" t="s">
        <v>4938</v>
      </c>
      <c r="B1058" s="4" t="s">
        <v>4939</v>
      </c>
      <c r="C1058" s="4" t="s">
        <v>47</v>
      </c>
      <c r="D1058" s="4" t="s">
        <v>47</v>
      </c>
      <c r="E1058" s="4" t="s">
        <v>4829</v>
      </c>
      <c r="F1058" s="4" t="s">
        <v>47</v>
      </c>
      <c r="G1058" s="4" t="s">
        <v>4940</v>
      </c>
      <c r="H1058" s="4" t="s">
        <v>47</v>
      </c>
      <c r="I1058">
        <f t="shared" si="32"/>
        <v>-392652.56</v>
      </c>
      <c r="J1058" t="str">
        <f t="shared" si="33"/>
        <v>VERIFICAR</v>
      </c>
    </row>
    <row r="1059" spans="1:10" ht="15" customHeight="1" x14ac:dyDescent="0.2">
      <c r="A1059" s="3" t="s">
        <v>4941</v>
      </c>
      <c r="B1059" s="3" t="s">
        <v>4939</v>
      </c>
      <c r="C1059" s="3" t="s">
        <v>47</v>
      </c>
      <c r="D1059" s="3" t="s">
        <v>47</v>
      </c>
      <c r="E1059" s="3" t="s">
        <v>4829</v>
      </c>
      <c r="F1059" s="3" t="s">
        <v>47</v>
      </c>
      <c r="G1059" s="3" t="s">
        <v>4940</v>
      </c>
      <c r="H1059" s="3" t="s">
        <v>47</v>
      </c>
      <c r="I1059">
        <f t="shared" si="32"/>
        <v>-392652.56</v>
      </c>
      <c r="J1059" t="str">
        <f t="shared" si="33"/>
        <v>VERIFICAR</v>
      </c>
    </row>
    <row r="1060" spans="1:10" ht="15" customHeight="1" x14ac:dyDescent="0.2">
      <c r="A1060" s="4" t="s">
        <v>4942</v>
      </c>
      <c r="B1060" s="4" t="s">
        <v>4939</v>
      </c>
      <c r="C1060" s="4" t="s">
        <v>47</v>
      </c>
      <c r="D1060" s="4" t="s">
        <v>47</v>
      </c>
      <c r="E1060" s="4" t="s">
        <v>4829</v>
      </c>
      <c r="F1060" s="4" t="s">
        <v>47</v>
      </c>
      <c r="G1060" s="4" t="s">
        <v>4940</v>
      </c>
      <c r="H1060" s="4" t="s">
        <v>47</v>
      </c>
      <c r="I1060">
        <f t="shared" si="32"/>
        <v>-392652.56</v>
      </c>
      <c r="J1060" t="str">
        <f t="shared" si="33"/>
        <v>VERIFICAR</v>
      </c>
    </row>
    <row r="1061" spans="1:10" ht="15" customHeight="1" x14ac:dyDescent="0.2">
      <c r="A1061" s="3" t="s">
        <v>4943</v>
      </c>
      <c r="B1061" s="3" t="s">
        <v>4944</v>
      </c>
      <c r="C1061" s="3" t="s">
        <v>4945</v>
      </c>
      <c r="D1061" s="3" t="s">
        <v>4946</v>
      </c>
      <c r="E1061" s="3" t="s">
        <v>4829</v>
      </c>
      <c r="F1061" s="3" t="s">
        <v>47</v>
      </c>
      <c r="G1061" s="3" t="s">
        <v>4940</v>
      </c>
      <c r="H1061" s="3" t="s">
        <v>47</v>
      </c>
      <c r="I1061">
        <f t="shared" si="32"/>
        <v>-392652.56</v>
      </c>
      <c r="J1061" t="str">
        <f t="shared" si="33"/>
        <v>VERIFICAR</v>
      </c>
    </row>
    <row r="1062" spans="1:10" ht="15" customHeight="1" x14ac:dyDescent="0.2">
      <c r="A1062" s="4" t="s">
        <v>4947</v>
      </c>
      <c r="B1062" s="4" t="s">
        <v>4948</v>
      </c>
      <c r="C1062" s="4" t="s">
        <v>47</v>
      </c>
      <c r="D1062" s="4" t="s">
        <v>47</v>
      </c>
      <c r="E1062" s="4" t="s">
        <v>4949</v>
      </c>
      <c r="F1062" s="4" t="s">
        <v>4950</v>
      </c>
      <c r="G1062" s="4" t="s">
        <v>47</v>
      </c>
      <c r="H1062" s="4" t="s">
        <v>4951</v>
      </c>
      <c r="I1062" t="str">
        <f t="shared" si="32"/>
        <v>VERIFICAR</v>
      </c>
      <c r="J1062">
        <f t="shared" si="33"/>
        <v>1414137.77</v>
      </c>
    </row>
    <row r="1063" spans="1:10" ht="15" customHeight="1" x14ac:dyDescent="0.2">
      <c r="A1063" s="3" t="s">
        <v>4952</v>
      </c>
      <c r="B1063" s="3" t="s">
        <v>4948</v>
      </c>
      <c r="C1063" s="3" t="s">
        <v>47</v>
      </c>
      <c r="D1063" s="3" t="s">
        <v>47</v>
      </c>
      <c r="E1063" s="3" t="s">
        <v>4949</v>
      </c>
      <c r="F1063" s="3" t="s">
        <v>4950</v>
      </c>
      <c r="G1063" s="3" t="s">
        <v>47</v>
      </c>
      <c r="H1063" s="3" t="s">
        <v>4951</v>
      </c>
      <c r="I1063" t="str">
        <f t="shared" si="32"/>
        <v>VERIFICAR</v>
      </c>
      <c r="J1063">
        <f t="shared" si="33"/>
        <v>1414137.77</v>
      </c>
    </row>
    <row r="1064" spans="1:10" ht="15" customHeight="1" x14ac:dyDescent="0.2">
      <c r="A1064" s="4" t="s">
        <v>4953</v>
      </c>
      <c r="B1064" s="4" t="s">
        <v>4954</v>
      </c>
      <c r="C1064" s="4" t="s">
        <v>47</v>
      </c>
      <c r="D1064" s="4" t="s">
        <v>47</v>
      </c>
      <c r="E1064" s="4" t="s">
        <v>4949</v>
      </c>
      <c r="F1064" s="4" t="s">
        <v>4950</v>
      </c>
      <c r="G1064" s="4" t="s">
        <v>47</v>
      </c>
      <c r="H1064" s="4" t="s">
        <v>4951</v>
      </c>
      <c r="I1064" t="str">
        <f t="shared" si="32"/>
        <v>VERIFICAR</v>
      </c>
      <c r="J1064">
        <f t="shared" si="33"/>
        <v>1414137.77</v>
      </c>
    </row>
    <row r="1065" spans="1:10" ht="15" customHeight="1" x14ac:dyDescent="0.2">
      <c r="A1065" s="3" t="s">
        <v>4955</v>
      </c>
      <c r="B1065" s="3" t="s">
        <v>4956</v>
      </c>
      <c r="C1065" s="3" t="s">
        <v>47</v>
      </c>
      <c r="D1065" s="3" t="s">
        <v>47</v>
      </c>
      <c r="E1065" s="3" t="s">
        <v>47</v>
      </c>
      <c r="F1065" s="3" t="s">
        <v>4957</v>
      </c>
      <c r="G1065" s="3" t="s">
        <v>47</v>
      </c>
      <c r="H1065" s="3" t="s">
        <v>4958</v>
      </c>
      <c r="I1065" t="str">
        <f t="shared" si="32"/>
        <v>VERIFICAR</v>
      </c>
      <c r="J1065">
        <f t="shared" si="33"/>
        <v>1713918.54</v>
      </c>
    </row>
    <row r="1066" spans="1:10" ht="15" customHeight="1" x14ac:dyDescent="0.2">
      <c r="A1066" s="4" t="s">
        <v>4959</v>
      </c>
      <c r="B1066" s="4" t="s">
        <v>4956</v>
      </c>
      <c r="C1066" s="4" t="s">
        <v>47</v>
      </c>
      <c r="D1066" s="4" t="s">
        <v>47</v>
      </c>
      <c r="E1066" s="4" t="s">
        <v>47</v>
      </c>
      <c r="F1066" s="4" t="s">
        <v>4957</v>
      </c>
      <c r="G1066" s="4" t="s">
        <v>47</v>
      </c>
      <c r="H1066" s="4" t="s">
        <v>4958</v>
      </c>
      <c r="I1066" t="str">
        <f t="shared" si="32"/>
        <v>VERIFICAR</v>
      </c>
      <c r="J1066">
        <f t="shared" si="33"/>
        <v>1713918.54</v>
      </c>
    </row>
    <row r="1067" spans="1:10" ht="15" customHeight="1" x14ac:dyDescent="0.2">
      <c r="A1067" s="3" t="s">
        <v>4960</v>
      </c>
      <c r="B1067" s="3" t="s">
        <v>4961</v>
      </c>
      <c r="C1067" s="3" t="s">
        <v>4962</v>
      </c>
      <c r="D1067" s="3" t="s">
        <v>4963</v>
      </c>
      <c r="E1067" s="3" t="s">
        <v>47</v>
      </c>
      <c r="F1067" s="3" t="s">
        <v>4964</v>
      </c>
      <c r="G1067" s="3" t="s">
        <v>47</v>
      </c>
      <c r="H1067" s="3" t="s">
        <v>4965</v>
      </c>
      <c r="I1067" t="str">
        <f t="shared" si="32"/>
        <v>VERIFICAR</v>
      </c>
      <c r="J1067">
        <f t="shared" si="33"/>
        <v>22333.439999999999</v>
      </c>
    </row>
    <row r="1068" spans="1:10" ht="15" customHeight="1" x14ac:dyDescent="0.2">
      <c r="A1068" s="4" t="s">
        <v>4966</v>
      </c>
      <c r="B1068" s="4" t="s">
        <v>4967</v>
      </c>
      <c r="C1068" s="4" t="s">
        <v>4968</v>
      </c>
      <c r="D1068" s="4" t="s">
        <v>4969</v>
      </c>
      <c r="E1068" s="4" t="s">
        <v>47</v>
      </c>
      <c r="F1068" s="4" t="s">
        <v>4970</v>
      </c>
      <c r="G1068" s="4" t="s">
        <v>47</v>
      </c>
      <c r="H1068" s="4" t="s">
        <v>4971</v>
      </c>
      <c r="I1068" t="str">
        <f t="shared" si="32"/>
        <v>VERIFICAR</v>
      </c>
      <c r="J1068">
        <f t="shared" si="33"/>
        <v>1672899.79</v>
      </c>
    </row>
    <row r="1069" spans="1:10" ht="15" customHeight="1" x14ac:dyDescent="0.2">
      <c r="A1069" s="3" t="s">
        <v>4972</v>
      </c>
      <c r="B1069" s="3" t="s">
        <v>4973</v>
      </c>
      <c r="C1069" s="3" t="s">
        <v>4974</v>
      </c>
      <c r="D1069" s="3" t="s">
        <v>4975</v>
      </c>
      <c r="E1069" s="3" t="s">
        <v>47</v>
      </c>
      <c r="F1069" s="3" t="s">
        <v>4976</v>
      </c>
      <c r="G1069" s="3" t="s">
        <v>47</v>
      </c>
      <c r="H1069" s="3" t="s">
        <v>4977</v>
      </c>
      <c r="I1069" t="str">
        <f t="shared" si="32"/>
        <v>VERIFICAR</v>
      </c>
      <c r="J1069">
        <f t="shared" si="33"/>
        <v>18685.310000000001</v>
      </c>
    </row>
    <row r="1070" spans="1:10" ht="15" customHeight="1" x14ac:dyDescent="0.2">
      <c r="A1070" s="4" t="s">
        <v>4978</v>
      </c>
      <c r="B1070" s="4" t="s">
        <v>4979</v>
      </c>
      <c r="C1070" s="4" t="s">
        <v>47</v>
      </c>
      <c r="D1070" s="4" t="s">
        <v>47</v>
      </c>
      <c r="E1070" s="4" t="s">
        <v>4949</v>
      </c>
      <c r="F1070" s="4" t="s">
        <v>4980</v>
      </c>
      <c r="G1070" s="4" t="s">
        <v>4981</v>
      </c>
      <c r="H1070" s="4" t="s">
        <v>47</v>
      </c>
      <c r="I1070" t="str">
        <f t="shared" si="32"/>
        <v>VERIFICAR</v>
      </c>
      <c r="J1070">
        <f t="shared" si="33"/>
        <v>-299780.77</v>
      </c>
    </row>
    <row r="1071" spans="1:10" ht="15" customHeight="1" x14ac:dyDescent="0.2">
      <c r="A1071" s="3" t="s">
        <v>4982</v>
      </c>
      <c r="B1071" s="3" t="s">
        <v>4983</v>
      </c>
      <c r="C1071" s="3" t="s">
        <v>47</v>
      </c>
      <c r="D1071" s="3" t="s">
        <v>47</v>
      </c>
      <c r="E1071" s="3" t="s">
        <v>4984</v>
      </c>
      <c r="F1071" s="3" t="s">
        <v>47</v>
      </c>
      <c r="G1071" s="3" t="s">
        <v>4985</v>
      </c>
      <c r="H1071" s="3" t="s">
        <v>47</v>
      </c>
      <c r="I1071" t="str">
        <f t="shared" si="32"/>
        <v>VERIFICAR</v>
      </c>
      <c r="J1071">
        <f t="shared" si="33"/>
        <v>-212510.4</v>
      </c>
    </row>
    <row r="1072" spans="1:10" ht="15" customHeight="1" x14ac:dyDescent="0.2">
      <c r="A1072" s="4" t="s">
        <v>4986</v>
      </c>
      <c r="B1072" s="4" t="s">
        <v>2732</v>
      </c>
      <c r="C1072" s="4" t="s">
        <v>4987</v>
      </c>
      <c r="D1072" s="4" t="s">
        <v>4988</v>
      </c>
      <c r="E1072" s="4" t="s">
        <v>4989</v>
      </c>
      <c r="F1072" s="4" t="s">
        <v>47</v>
      </c>
      <c r="G1072" s="4" t="s">
        <v>4990</v>
      </c>
      <c r="H1072" s="4" t="s">
        <v>47</v>
      </c>
      <c r="I1072" t="str">
        <f t="shared" si="32"/>
        <v>VERIFICAR</v>
      </c>
      <c r="J1072">
        <f t="shared" si="33"/>
        <v>-124402.4</v>
      </c>
    </row>
    <row r="1073" spans="1:10" ht="15" customHeight="1" x14ac:dyDescent="0.2">
      <c r="A1073" s="3" t="s">
        <v>4991</v>
      </c>
      <c r="B1073" s="3" t="s">
        <v>4992</v>
      </c>
      <c r="C1073" s="3" t="s">
        <v>4993</v>
      </c>
      <c r="D1073" s="3" t="s">
        <v>4994</v>
      </c>
      <c r="E1073" s="3" t="s">
        <v>4752</v>
      </c>
      <c r="F1073" s="3" t="s">
        <v>47</v>
      </c>
      <c r="G1073" s="3" t="s">
        <v>4995</v>
      </c>
      <c r="H1073" s="3" t="s">
        <v>47</v>
      </c>
      <c r="I1073" t="str">
        <f t="shared" si="32"/>
        <v>VERIFICAR</v>
      </c>
      <c r="J1073">
        <f t="shared" si="33"/>
        <v>-934.27</v>
      </c>
    </row>
    <row r="1074" spans="1:10" ht="15" customHeight="1" x14ac:dyDescent="0.2">
      <c r="A1074" s="4" t="s">
        <v>4996</v>
      </c>
      <c r="B1074" s="4" t="s">
        <v>2766</v>
      </c>
      <c r="C1074" s="4" t="s">
        <v>4997</v>
      </c>
      <c r="D1074" s="4" t="s">
        <v>4998</v>
      </c>
      <c r="E1074" s="4" t="s">
        <v>4784</v>
      </c>
      <c r="F1074" s="4" t="s">
        <v>47</v>
      </c>
      <c r="G1074" s="4" t="s">
        <v>4999</v>
      </c>
      <c r="H1074" s="4" t="s">
        <v>47</v>
      </c>
      <c r="I1074" t="str">
        <f t="shared" si="32"/>
        <v>VERIFICAR</v>
      </c>
      <c r="J1074">
        <f t="shared" si="33"/>
        <v>-53211.74</v>
      </c>
    </row>
    <row r="1075" spans="1:10" ht="15" customHeight="1" x14ac:dyDescent="0.2">
      <c r="A1075" s="3" t="s">
        <v>5000</v>
      </c>
      <c r="B1075" s="3" t="s">
        <v>2770</v>
      </c>
      <c r="C1075" s="3" t="s">
        <v>5001</v>
      </c>
      <c r="D1075" s="3" t="s">
        <v>5002</v>
      </c>
      <c r="E1075" s="3" t="s">
        <v>4791</v>
      </c>
      <c r="F1075" s="3" t="s">
        <v>47</v>
      </c>
      <c r="G1075" s="3" t="s">
        <v>5003</v>
      </c>
      <c r="H1075" s="3" t="s">
        <v>47</v>
      </c>
      <c r="I1075" t="str">
        <f t="shared" si="32"/>
        <v>VERIFICAR</v>
      </c>
      <c r="J1075">
        <f t="shared" si="33"/>
        <v>-11491.89</v>
      </c>
    </row>
    <row r="1076" spans="1:10" ht="15" customHeight="1" x14ac:dyDescent="0.2">
      <c r="A1076" s="4" t="s">
        <v>5004</v>
      </c>
      <c r="B1076" s="4" t="s">
        <v>2745</v>
      </c>
      <c r="C1076" s="4" t="s">
        <v>5005</v>
      </c>
      <c r="D1076" s="4" t="s">
        <v>5006</v>
      </c>
      <c r="E1076" s="4" t="s">
        <v>5007</v>
      </c>
      <c r="F1076" s="4" t="s">
        <v>47</v>
      </c>
      <c r="G1076" s="4" t="s">
        <v>5008</v>
      </c>
      <c r="H1076" s="4" t="s">
        <v>47</v>
      </c>
      <c r="I1076" t="str">
        <f t="shared" si="32"/>
        <v>VERIFICAR</v>
      </c>
      <c r="J1076">
        <f t="shared" si="33"/>
        <v>-16143.34</v>
      </c>
    </row>
    <row r="1077" spans="1:10" ht="15" customHeight="1" x14ac:dyDescent="0.2">
      <c r="A1077" s="3" t="s">
        <v>5009</v>
      </c>
      <c r="B1077" s="3" t="s">
        <v>2752</v>
      </c>
      <c r="C1077" s="3" t="s">
        <v>5010</v>
      </c>
      <c r="D1077" s="3" t="s">
        <v>5011</v>
      </c>
      <c r="E1077" s="3" t="s">
        <v>4765</v>
      </c>
      <c r="F1077" s="3" t="s">
        <v>47</v>
      </c>
      <c r="G1077" s="3" t="s">
        <v>5012</v>
      </c>
      <c r="H1077" s="3" t="s">
        <v>47</v>
      </c>
      <c r="I1077" t="str">
        <f t="shared" si="32"/>
        <v>VERIFICAR</v>
      </c>
      <c r="J1077">
        <f t="shared" si="33"/>
        <v>-6326.76</v>
      </c>
    </row>
    <row r="1078" spans="1:10" ht="15" customHeight="1" x14ac:dyDescent="0.2">
      <c r="A1078" s="4" t="s">
        <v>5013</v>
      </c>
      <c r="B1078" s="4" t="s">
        <v>5014</v>
      </c>
      <c r="C1078" s="4" t="s">
        <v>47</v>
      </c>
      <c r="D1078" s="4" t="s">
        <v>47</v>
      </c>
      <c r="E1078" s="4" t="s">
        <v>5015</v>
      </c>
      <c r="F1078" s="4" t="s">
        <v>4980</v>
      </c>
      <c r="G1078" s="4" t="s">
        <v>5016</v>
      </c>
      <c r="H1078" s="4" t="s">
        <v>47</v>
      </c>
      <c r="I1078" t="str">
        <f t="shared" si="32"/>
        <v>VERIFICAR</v>
      </c>
      <c r="J1078">
        <f t="shared" si="33"/>
        <v>-87270.37</v>
      </c>
    </row>
    <row r="1079" spans="1:10" ht="15" customHeight="1" x14ac:dyDescent="0.2">
      <c r="A1079" s="3" t="s">
        <v>5017</v>
      </c>
      <c r="B1079" s="3" t="s">
        <v>5018</v>
      </c>
      <c r="C1079" s="3" t="s">
        <v>5019</v>
      </c>
      <c r="D1079" s="3" t="s">
        <v>5020</v>
      </c>
      <c r="E1079" s="3" t="s">
        <v>5015</v>
      </c>
      <c r="F1079" s="3" t="s">
        <v>47</v>
      </c>
      <c r="G1079" s="3" t="s">
        <v>5021</v>
      </c>
      <c r="H1079" s="3" t="s">
        <v>47</v>
      </c>
      <c r="I1079" t="str">
        <f t="shared" si="32"/>
        <v>VERIFICAR</v>
      </c>
      <c r="J1079">
        <f t="shared" si="33"/>
        <v>-97797.98</v>
      </c>
    </row>
    <row r="1080" spans="1:10" ht="15" customHeight="1" x14ac:dyDescent="0.2">
      <c r="A1080" s="4" t="s">
        <v>5022</v>
      </c>
      <c r="B1080" s="4" t="s">
        <v>5023</v>
      </c>
      <c r="C1080" s="4" t="s">
        <v>5024</v>
      </c>
      <c r="D1080" s="4" t="s">
        <v>5025</v>
      </c>
      <c r="E1080" s="4" t="s">
        <v>47</v>
      </c>
      <c r="F1080" s="4" t="s">
        <v>5026</v>
      </c>
      <c r="G1080" s="4" t="s">
        <v>47</v>
      </c>
      <c r="H1080" s="4" t="s">
        <v>5027</v>
      </c>
      <c r="I1080" t="str">
        <f t="shared" si="32"/>
        <v>VERIFICAR</v>
      </c>
      <c r="J1080">
        <f t="shared" si="33"/>
        <v>559.12</v>
      </c>
    </row>
    <row r="1081" spans="1:10" ht="15" customHeight="1" x14ac:dyDescent="0.2">
      <c r="A1081" s="3" t="s">
        <v>5028</v>
      </c>
      <c r="B1081" s="3" t="s">
        <v>5029</v>
      </c>
      <c r="C1081" s="3" t="s">
        <v>5030</v>
      </c>
      <c r="D1081" s="3" t="s">
        <v>5031</v>
      </c>
      <c r="E1081" s="3" t="s">
        <v>47</v>
      </c>
      <c r="F1081" s="3" t="s">
        <v>5032</v>
      </c>
      <c r="G1081" s="3" t="s">
        <v>47</v>
      </c>
      <c r="H1081" s="3" t="s">
        <v>5033</v>
      </c>
      <c r="I1081" t="str">
        <f t="shared" si="32"/>
        <v>VERIFICAR</v>
      </c>
      <c r="J1081">
        <f t="shared" si="33"/>
        <v>6179.16</v>
      </c>
    </row>
    <row r="1082" spans="1:10" ht="15" customHeight="1" x14ac:dyDescent="0.2">
      <c r="A1082" s="4" t="s">
        <v>5034</v>
      </c>
      <c r="B1082" s="4" t="s">
        <v>5035</v>
      </c>
      <c r="C1082" s="4" t="s">
        <v>5036</v>
      </c>
      <c r="D1082" s="4" t="s">
        <v>5037</v>
      </c>
      <c r="E1082" s="4" t="s">
        <v>47</v>
      </c>
      <c r="F1082" s="4" t="s">
        <v>47</v>
      </c>
      <c r="G1082" s="4" t="s">
        <v>47</v>
      </c>
      <c r="H1082" s="4" t="s">
        <v>5038</v>
      </c>
      <c r="I1082" t="str">
        <f t="shared" si="32"/>
        <v>VERIFICAR</v>
      </c>
      <c r="J1082">
        <f t="shared" si="33"/>
        <v>0</v>
      </c>
    </row>
    <row r="1083" spans="1:10" ht="15" customHeight="1" x14ac:dyDescent="0.2">
      <c r="A1083" s="3" t="s">
        <v>5039</v>
      </c>
      <c r="B1083" s="3" t="s">
        <v>5040</v>
      </c>
      <c r="C1083" s="3" t="s">
        <v>5041</v>
      </c>
      <c r="D1083" s="3" t="s">
        <v>5042</v>
      </c>
      <c r="E1083" s="3" t="s">
        <v>47</v>
      </c>
      <c r="F1083" s="3" t="s">
        <v>2768</v>
      </c>
      <c r="G1083" s="3" t="s">
        <v>47</v>
      </c>
      <c r="H1083" s="3" t="s">
        <v>5043</v>
      </c>
      <c r="I1083" t="str">
        <f t="shared" si="32"/>
        <v>VERIFICAR</v>
      </c>
      <c r="J1083">
        <f t="shared" si="33"/>
        <v>3116.15</v>
      </c>
    </row>
    <row r="1084" spans="1:10" ht="15" customHeight="1" x14ac:dyDescent="0.2">
      <c r="A1084" s="4" t="s">
        <v>5044</v>
      </c>
      <c r="B1084" s="4" t="s">
        <v>5045</v>
      </c>
      <c r="C1084" s="4" t="s">
        <v>5046</v>
      </c>
      <c r="D1084" s="4" t="s">
        <v>5047</v>
      </c>
      <c r="E1084" s="4" t="s">
        <v>47</v>
      </c>
      <c r="F1084" s="4" t="s">
        <v>2772</v>
      </c>
      <c r="G1084" s="4" t="s">
        <v>47</v>
      </c>
      <c r="H1084" s="4" t="s">
        <v>5048</v>
      </c>
      <c r="I1084" t="str">
        <f t="shared" si="32"/>
        <v>VERIFICAR</v>
      </c>
      <c r="J1084">
        <f t="shared" si="33"/>
        <v>673.18</v>
      </c>
    </row>
    <row r="1085" spans="1:10" ht="15" customHeight="1" x14ac:dyDescent="0.2">
      <c r="A1085" s="3" t="s">
        <v>5049</v>
      </c>
      <c r="B1085" s="3" t="s">
        <v>5050</v>
      </c>
      <c r="C1085" s="3" t="s">
        <v>47</v>
      </c>
      <c r="D1085" s="3" t="s">
        <v>47</v>
      </c>
      <c r="E1085" s="3" t="s">
        <v>5051</v>
      </c>
      <c r="F1085" s="3" t="s">
        <v>5052</v>
      </c>
      <c r="G1085" s="3" t="s">
        <v>5053</v>
      </c>
      <c r="H1085" s="3" t="s">
        <v>47</v>
      </c>
      <c r="I1085" t="str">
        <f t="shared" si="32"/>
        <v>VERIFICAR</v>
      </c>
      <c r="J1085">
        <f t="shared" si="33"/>
        <v>1382017.32</v>
      </c>
    </row>
    <row r="1086" spans="1:10" ht="15" customHeight="1" x14ac:dyDescent="0.2">
      <c r="A1086" s="4" t="s">
        <v>5054</v>
      </c>
      <c r="B1086" s="4" t="s">
        <v>5055</v>
      </c>
      <c r="C1086" s="4" t="s">
        <v>47</v>
      </c>
      <c r="D1086" s="4" t="s">
        <v>47</v>
      </c>
      <c r="E1086" s="4" t="s">
        <v>5056</v>
      </c>
      <c r="F1086" s="4" t="s">
        <v>5057</v>
      </c>
      <c r="G1086" s="4" t="s">
        <v>5058</v>
      </c>
      <c r="H1086" s="4" t="s">
        <v>47</v>
      </c>
      <c r="I1086" t="str">
        <f t="shared" si="32"/>
        <v>VERIFICAR</v>
      </c>
      <c r="J1086">
        <f t="shared" si="33"/>
        <v>1040511.7400000001</v>
      </c>
    </row>
    <row r="1087" spans="1:10" ht="15" customHeight="1" x14ac:dyDescent="0.2">
      <c r="A1087" s="3" t="s">
        <v>5059</v>
      </c>
      <c r="B1087" s="3" t="s">
        <v>5055</v>
      </c>
      <c r="C1087" s="3" t="s">
        <v>47</v>
      </c>
      <c r="D1087" s="3" t="s">
        <v>47</v>
      </c>
      <c r="E1087" s="3" t="s">
        <v>5056</v>
      </c>
      <c r="F1087" s="3" t="s">
        <v>5057</v>
      </c>
      <c r="G1087" s="3" t="s">
        <v>5058</v>
      </c>
      <c r="H1087" s="3" t="s">
        <v>47</v>
      </c>
      <c r="I1087" t="str">
        <f t="shared" si="32"/>
        <v>VERIFICAR</v>
      </c>
      <c r="J1087">
        <f t="shared" si="33"/>
        <v>1040511.7400000001</v>
      </c>
    </row>
    <row r="1088" spans="1:10" ht="15" customHeight="1" x14ac:dyDescent="0.2">
      <c r="A1088" s="4" t="s">
        <v>5060</v>
      </c>
      <c r="B1088" s="4" t="s">
        <v>5061</v>
      </c>
      <c r="C1088" s="4" t="s">
        <v>47</v>
      </c>
      <c r="D1088" s="4" t="s">
        <v>47</v>
      </c>
      <c r="E1088" s="4" t="s">
        <v>5062</v>
      </c>
      <c r="F1088" s="4" t="s">
        <v>5057</v>
      </c>
      <c r="G1088" s="4" t="s">
        <v>5063</v>
      </c>
      <c r="H1088" s="4" t="s">
        <v>47</v>
      </c>
      <c r="I1088" t="str">
        <f t="shared" si="32"/>
        <v>VERIFICAR</v>
      </c>
      <c r="J1088">
        <f t="shared" si="33"/>
        <v>1040447.7400000001</v>
      </c>
    </row>
    <row r="1089" spans="1:10" ht="15" customHeight="1" x14ac:dyDescent="0.2">
      <c r="A1089" s="3" t="s">
        <v>5064</v>
      </c>
      <c r="B1089" s="3" t="s">
        <v>5065</v>
      </c>
      <c r="C1089" s="3" t="s">
        <v>47</v>
      </c>
      <c r="D1089" s="3" t="s">
        <v>47</v>
      </c>
      <c r="E1089" s="3" t="s">
        <v>5066</v>
      </c>
      <c r="F1089" s="3" t="s">
        <v>5067</v>
      </c>
      <c r="G1089" s="3" t="s">
        <v>5068</v>
      </c>
      <c r="H1089" s="3" t="s">
        <v>47</v>
      </c>
      <c r="I1089" t="str">
        <f t="shared" si="32"/>
        <v>VERIFICAR</v>
      </c>
      <c r="J1089">
        <f t="shared" si="33"/>
        <v>95289.78</v>
      </c>
    </row>
    <row r="1090" spans="1:10" ht="15" customHeight="1" x14ac:dyDescent="0.2">
      <c r="A1090" s="4" t="s">
        <v>5069</v>
      </c>
      <c r="B1090" s="4" t="s">
        <v>5070</v>
      </c>
      <c r="C1090" s="4" t="s">
        <v>5071</v>
      </c>
      <c r="D1090" s="4" t="s">
        <v>5072</v>
      </c>
      <c r="E1090" s="4" t="s">
        <v>5073</v>
      </c>
      <c r="F1090" s="4" t="s">
        <v>47</v>
      </c>
      <c r="G1090" s="4" t="s">
        <v>5074</v>
      </c>
      <c r="H1090" s="4" t="s">
        <v>47</v>
      </c>
      <c r="I1090" t="str">
        <f t="shared" si="32"/>
        <v>VERIFICAR</v>
      </c>
      <c r="J1090">
        <f t="shared" si="33"/>
        <v>1621</v>
      </c>
    </row>
    <row r="1091" spans="1:10" ht="15" customHeight="1" x14ac:dyDescent="0.2">
      <c r="A1091" s="3" t="s">
        <v>5075</v>
      </c>
      <c r="B1091" s="3" t="s">
        <v>5076</v>
      </c>
      <c r="C1091" s="3" t="s">
        <v>5077</v>
      </c>
      <c r="D1091" s="3" t="s">
        <v>5078</v>
      </c>
      <c r="E1091" s="3" t="s">
        <v>5079</v>
      </c>
      <c r="F1091" s="3" t="s">
        <v>5067</v>
      </c>
      <c r="G1091" s="3" t="s">
        <v>5080</v>
      </c>
      <c r="H1091" s="3" t="s">
        <v>47</v>
      </c>
      <c r="I1091" t="str">
        <f t="shared" si="32"/>
        <v>VERIFICAR</v>
      </c>
      <c r="J1091">
        <f t="shared" si="33"/>
        <v>62507.199999999997</v>
      </c>
    </row>
    <row r="1092" spans="1:10" ht="15" customHeight="1" x14ac:dyDescent="0.2">
      <c r="A1092" s="4" t="s">
        <v>5081</v>
      </c>
      <c r="B1092" s="4" t="s">
        <v>5082</v>
      </c>
      <c r="C1092" s="4" t="s">
        <v>5083</v>
      </c>
      <c r="D1092" s="4" t="s">
        <v>5084</v>
      </c>
      <c r="E1092" s="4" t="s">
        <v>47</v>
      </c>
      <c r="F1092" s="4" t="s">
        <v>47</v>
      </c>
      <c r="G1092" s="4" t="s">
        <v>5085</v>
      </c>
      <c r="H1092" s="4" t="s">
        <v>47</v>
      </c>
      <c r="I1092" t="str">
        <f t="shared" ref="I1092:I1155" si="34">IF(MID(A1092,1,1)="1",G1092-H1092,IF(MID(A1092,1,1)="2",H1092-G1092,"VERIFICAR"))</f>
        <v>VERIFICAR</v>
      </c>
      <c r="J1092">
        <f t="shared" ref="J1092:J1155" si="35">IF(MID(A1092,1,1)="1",H1092-I1092,IF(MID(B1092,1,1)="2",I1092-H1092,IF(MID(A1092,1,1)="3",F1092-E1092,IF(MID(A1092,1,1)="4",E1092-F1092,"VERIFICAR"))))</f>
        <v>0</v>
      </c>
    </row>
    <row r="1093" spans="1:10" ht="15" customHeight="1" x14ac:dyDescent="0.2">
      <c r="A1093" s="3" t="s">
        <v>5086</v>
      </c>
      <c r="B1093" s="3" t="s">
        <v>5087</v>
      </c>
      <c r="C1093" s="3" t="s">
        <v>5088</v>
      </c>
      <c r="D1093" s="3" t="s">
        <v>5089</v>
      </c>
      <c r="E1093" s="3" t="s">
        <v>47</v>
      </c>
      <c r="F1093" s="3" t="s">
        <v>47</v>
      </c>
      <c r="G1093" s="3" t="s">
        <v>5090</v>
      </c>
      <c r="H1093" s="3" t="s">
        <v>47</v>
      </c>
      <c r="I1093" t="str">
        <f t="shared" si="34"/>
        <v>VERIFICAR</v>
      </c>
      <c r="J1093">
        <f t="shared" si="35"/>
        <v>0</v>
      </c>
    </row>
    <row r="1094" spans="1:10" ht="15" customHeight="1" x14ac:dyDescent="0.2">
      <c r="A1094" s="4" t="s">
        <v>5091</v>
      </c>
      <c r="B1094" s="4" t="s">
        <v>4674</v>
      </c>
      <c r="C1094" s="4" t="s">
        <v>5092</v>
      </c>
      <c r="D1094" s="4" t="s">
        <v>5093</v>
      </c>
      <c r="E1094" s="4" t="s">
        <v>5094</v>
      </c>
      <c r="F1094" s="4" t="s">
        <v>47</v>
      </c>
      <c r="G1094" s="4" t="s">
        <v>5095</v>
      </c>
      <c r="H1094" s="4" t="s">
        <v>47</v>
      </c>
      <c r="I1094" t="str">
        <f t="shared" si="34"/>
        <v>VERIFICAR</v>
      </c>
      <c r="J1094">
        <f t="shared" si="35"/>
        <v>10420.31</v>
      </c>
    </row>
    <row r="1095" spans="1:10" ht="15" customHeight="1" x14ac:dyDescent="0.2">
      <c r="A1095" s="3" t="s">
        <v>5096</v>
      </c>
      <c r="B1095" s="3" t="s">
        <v>4681</v>
      </c>
      <c r="C1095" s="3" t="s">
        <v>5097</v>
      </c>
      <c r="D1095" s="3" t="s">
        <v>5098</v>
      </c>
      <c r="E1095" s="3" t="s">
        <v>5099</v>
      </c>
      <c r="F1095" s="3" t="s">
        <v>47</v>
      </c>
      <c r="G1095" s="3" t="s">
        <v>5100</v>
      </c>
      <c r="H1095" s="3" t="s">
        <v>47</v>
      </c>
      <c r="I1095" t="str">
        <f t="shared" si="34"/>
        <v>VERIFICAR</v>
      </c>
      <c r="J1095">
        <f t="shared" si="35"/>
        <v>3013.77</v>
      </c>
    </row>
    <row r="1096" spans="1:10" ht="15" customHeight="1" x14ac:dyDescent="0.2">
      <c r="A1096" s="4" t="s">
        <v>5101</v>
      </c>
      <c r="B1096" s="4" t="s">
        <v>5102</v>
      </c>
      <c r="C1096" s="4" t="s">
        <v>5103</v>
      </c>
      <c r="D1096" s="4" t="s">
        <v>5104</v>
      </c>
      <c r="E1096" s="4" t="s">
        <v>5105</v>
      </c>
      <c r="F1096" s="4" t="s">
        <v>47</v>
      </c>
      <c r="G1096" s="4" t="s">
        <v>5106</v>
      </c>
      <c r="H1096" s="4" t="s">
        <v>47</v>
      </c>
      <c r="I1096" t="str">
        <f t="shared" si="34"/>
        <v>VERIFICAR</v>
      </c>
      <c r="J1096">
        <f t="shared" si="35"/>
        <v>7164.6</v>
      </c>
    </row>
    <row r="1097" spans="1:10" ht="15" customHeight="1" x14ac:dyDescent="0.2">
      <c r="A1097" s="3" t="s">
        <v>5107</v>
      </c>
      <c r="B1097" s="3" t="s">
        <v>5108</v>
      </c>
      <c r="C1097" s="3" t="s">
        <v>5109</v>
      </c>
      <c r="D1097" s="3" t="s">
        <v>5110</v>
      </c>
      <c r="E1097" s="3" t="s">
        <v>5111</v>
      </c>
      <c r="F1097" s="3" t="s">
        <v>47</v>
      </c>
      <c r="G1097" s="3" t="s">
        <v>5112</v>
      </c>
      <c r="H1097" s="3" t="s">
        <v>47</v>
      </c>
      <c r="I1097" t="str">
        <f t="shared" si="34"/>
        <v>VERIFICAR</v>
      </c>
      <c r="J1097">
        <f t="shared" si="35"/>
        <v>6090.48</v>
      </c>
    </row>
    <row r="1098" spans="1:10" ht="15" customHeight="1" x14ac:dyDescent="0.2">
      <c r="A1098" s="4" t="s">
        <v>5113</v>
      </c>
      <c r="B1098" s="4" t="s">
        <v>5114</v>
      </c>
      <c r="C1098" s="4" t="s">
        <v>5115</v>
      </c>
      <c r="D1098" s="4" t="s">
        <v>5116</v>
      </c>
      <c r="E1098" s="4" t="s">
        <v>5117</v>
      </c>
      <c r="F1098" s="4" t="s">
        <v>47</v>
      </c>
      <c r="G1098" s="4" t="s">
        <v>5118</v>
      </c>
      <c r="H1098" s="4" t="s">
        <v>47</v>
      </c>
      <c r="I1098" t="str">
        <f t="shared" si="34"/>
        <v>VERIFICAR</v>
      </c>
      <c r="J1098">
        <f t="shared" si="35"/>
        <v>4472.42</v>
      </c>
    </row>
    <row r="1099" spans="1:10" ht="15" customHeight="1" x14ac:dyDescent="0.2">
      <c r="A1099" s="3" t="s">
        <v>5119</v>
      </c>
      <c r="B1099" s="3" t="s">
        <v>5120</v>
      </c>
      <c r="C1099" s="3" t="s">
        <v>47</v>
      </c>
      <c r="D1099" s="3" t="s">
        <v>47</v>
      </c>
      <c r="E1099" s="3" t="s">
        <v>5121</v>
      </c>
      <c r="F1099" s="3" t="s">
        <v>47</v>
      </c>
      <c r="G1099" s="3" t="s">
        <v>5122</v>
      </c>
      <c r="H1099" s="3" t="s">
        <v>47</v>
      </c>
      <c r="I1099" t="str">
        <f t="shared" si="34"/>
        <v>VERIFICAR</v>
      </c>
      <c r="J1099">
        <f t="shared" si="35"/>
        <v>4151.7</v>
      </c>
    </row>
    <row r="1100" spans="1:10" ht="15" customHeight="1" x14ac:dyDescent="0.2">
      <c r="A1100" s="4" t="s">
        <v>5123</v>
      </c>
      <c r="B1100" s="4" t="s">
        <v>5124</v>
      </c>
      <c r="C1100" s="4" t="s">
        <v>5125</v>
      </c>
      <c r="D1100" s="4" t="s">
        <v>5126</v>
      </c>
      <c r="E1100" s="4" t="s">
        <v>4457</v>
      </c>
      <c r="F1100" s="4" t="s">
        <v>47</v>
      </c>
      <c r="G1100" s="4" t="s">
        <v>5127</v>
      </c>
      <c r="H1100" s="4" t="s">
        <v>47</v>
      </c>
      <c r="I1100" t="str">
        <f t="shared" si="34"/>
        <v>VERIFICAR</v>
      </c>
      <c r="J1100">
        <f t="shared" si="35"/>
        <v>2478</v>
      </c>
    </row>
    <row r="1101" spans="1:10" ht="15" customHeight="1" x14ac:dyDescent="0.2">
      <c r="A1101" s="3" t="s">
        <v>5128</v>
      </c>
      <c r="B1101" s="3" t="s">
        <v>5129</v>
      </c>
      <c r="C1101" s="3" t="s">
        <v>5130</v>
      </c>
      <c r="D1101" s="3" t="s">
        <v>5131</v>
      </c>
      <c r="E1101" s="3" t="s">
        <v>47</v>
      </c>
      <c r="F1101" s="3" t="s">
        <v>47</v>
      </c>
      <c r="G1101" s="3" t="s">
        <v>963</v>
      </c>
      <c r="H1101" s="3" t="s">
        <v>47</v>
      </c>
      <c r="I1101" t="str">
        <f t="shared" si="34"/>
        <v>VERIFICAR</v>
      </c>
      <c r="J1101">
        <f t="shared" si="35"/>
        <v>0</v>
      </c>
    </row>
    <row r="1102" spans="1:10" ht="15" customHeight="1" x14ac:dyDescent="0.2">
      <c r="A1102" s="4" t="s">
        <v>5132</v>
      </c>
      <c r="B1102" s="4" t="s">
        <v>5133</v>
      </c>
      <c r="C1102" s="4" t="s">
        <v>5134</v>
      </c>
      <c r="D1102" s="4" t="s">
        <v>5135</v>
      </c>
      <c r="E1102" s="4" t="s">
        <v>5136</v>
      </c>
      <c r="F1102" s="4" t="s">
        <v>47</v>
      </c>
      <c r="G1102" s="4" t="s">
        <v>5137</v>
      </c>
      <c r="H1102" s="4" t="s">
        <v>47</v>
      </c>
      <c r="I1102" t="str">
        <f t="shared" si="34"/>
        <v>VERIFICAR</v>
      </c>
      <c r="J1102">
        <f t="shared" si="35"/>
        <v>1673.7</v>
      </c>
    </row>
    <row r="1103" spans="1:10" ht="15" customHeight="1" x14ac:dyDescent="0.2">
      <c r="A1103" s="3" t="s">
        <v>5138</v>
      </c>
      <c r="B1103" s="3" t="s">
        <v>5139</v>
      </c>
      <c r="C1103" s="3" t="s">
        <v>5140</v>
      </c>
      <c r="D1103" s="3" t="s">
        <v>5141</v>
      </c>
      <c r="E1103" s="3" t="s">
        <v>47</v>
      </c>
      <c r="F1103" s="3" t="s">
        <v>47</v>
      </c>
      <c r="G1103" s="3" t="s">
        <v>5142</v>
      </c>
      <c r="H1103" s="3" t="s">
        <v>47</v>
      </c>
      <c r="I1103" t="str">
        <f t="shared" si="34"/>
        <v>VERIFICAR</v>
      </c>
      <c r="J1103">
        <f t="shared" si="35"/>
        <v>0</v>
      </c>
    </row>
    <row r="1104" spans="1:10" ht="15" customHeight="1" x14ac:dyDescent="0.2">
      <c r="A1104" s="4" t="s">
        <v>5143</v>
      </c>
      <c r="B1104" s="4" t="s">
        <v>5144</v>
      </c>
      <c r="C1104" s="4" t="s">
        <v>47</v>
      </c>
      <c r="D1104" s="4" t="s">
        <v>47</v>
      </c>
      <c r="E1104" s="4" t="s">
        <v>47</v>
      </c>
      <c r="F1104" s="4" t="s">
        <v>47</v>
      </c>
      <c r="G1104" s="4" t="s">
        <v>5145</v>
      </c>
      <c r="H1104" s="4" t="s">
        <v>47</v>
      </c>
      <c r="I1104" t="str">
        <f t="shared" si="34"/>
        <v>VERIFICAR</v>
      </c>
      <c r="J1104">
        <f t="shared" si="35"/>
        <v>0</v>
      </c>
    </row>
    <row r="1105" spans="1:10" ht="15" customHeight="1" x14ac:dyDescent="0.2">
      <c r="A1105" s="3" t="s">
        <v>5146</v>
      </c>
      <c r="B1105" s="3" t="s">
        <v>5147</v>
      </c>
      <c r="C1105" s="3" t="s">
        <v>5148</v>
      </c>
      <c r="D1105" s="3" t="s">
        <v>5149</v>
      </c>
      <c r="E1105" s="3" t="s">
        <v>47</v>
      </c>
      <c r="F1105" s="3" t="s">
        <v>47</v>
      </c>
      <c r="G1105" s="3" t="s">
        <v>5145</v>
      </c>
      <c r="H1105" s="3" t="s">
        <v>47</v>
      </c>
      <c r="I1105" t="str">
        <f t="shared" si="34"/>
        <v>VERIFICAR</v>
      </c>
      <c r="J1105">
        <f t="shared" si="35"/>
        <v>0</v>
      </c>
    </row>
    <row r="1106" spans="1:10" ht="15" customHeight="1" x14ac:dyDescent="0.2">
      <c r="A1106" s="4" t="s">
        <v>5150</v>
      </c>
      <c r="B1106" s="4" t="s">
        <v>5151</v>
      </c>
      <c r="C1106" s="4" t="s">
        <v>47</v>
      </c>
      <c r="D1106" s="4" t="s">
        <v>47</v>
      </c>
      <c r="E1106" s="4" t="s">
        <v>5152</v>
      </c>
      <c r="F1106" s="4" t="s">
        <v>5153</v>
      </c>
      <c r="G1106" s="4" t="s">
        <v>5154</v>
      </c>
      <c r="H1106" s="4" t="s">
        <v>47</v>
      </c>
      <c r="I1106" t="str">
        <f t="shared" si="34"/>
        <v>VERIFICAR</v>
      </c>
      <c r="J1106">
        <f t="shared" si="35"/>
        <v>34429.770000000004</v>
      </c>
    </row>
    <row r="1107" spans="1:10" ht="15" customHeight="1" x14ac:dyDescent="0.2">
      <c r="A1107" s="3" t="s">
        <v>5155</v>
      </c>
      <c r="B1107" s="3" t="s">
        <v>5156</v>
      </c>
      <c r="C1107" s="3" t="s">
        <v>5157</v>
      </c>
      <c r="D1107" s="3" t="s">
        <v>5158</v>
      </c>
      <c r="E1107" s="3" t="s">
        <v>5159</v>
      </c>
      <c r="F1107" s="3" t="s">
        <v>47</v>
      </c>
      <c r="G1107" s="3" t="s">
        <v>5160</v>
      </c>
      <c r="H1107" s="3" t="s">
        <v>47</v>
      </c>
      <c r="I1107" t="str">
        <f t="shared" si="34"/>
        <v>VERIFICAR</v>
      </c>
      <c r="J1107">
        <f t="shared" si="35"/>
        <v>660.96</v>
      </c>
    </row>
    <row r="1108" spans="1:10" ht="15" customHeight="1" x14ac:dyDescent="0.2">
      <c r="A1108" s="4" t="s">
        <v>5161</v>
      </c>
      <c r="B1108" s="4" t="s">
        <v>5162</v>
      </c>
      <c r="C1108" s="4" t="s">
        <v>5163</v>
      </c>
      <c r="D1108" s="4" t="s">
        <v>5164</v>
      </c>
      <c r="E1108" s="4" t="s">
        <v>5165</v>
      </c>
      <c r="F1108" s="4" t="s">
        <v>47</v>
      </c>
      <c r="G1108" s="4" t="s">
        <v>5166</v>
      </c>
      <c r="H1108" s="4" t="s">
        <v>47</v>
      </c>
      <c r="I1108" t="str">
        <f t="shared" si="34"/>
        <v>VERIFICAR</v>
      </c>
      <c r="J1108">
        <f t="shared" si="35"/>
        <v>3715.44</v>
      </c>
    </row>
    <row r="1109" spans="1:10" ht="15" customHeight="1" x14ac:dyDescent="0.2">
      <c r="A1109" s="3" t="s">
        <v>5167</v>
      </c>
      <c r="B1109" s="3" t="s">
        <v>5168</v>
      </c>
      <c r="C1109" s="3" t="s">
        <v>5169</v>
      </c>
      <c r="D1109" s="3" t="s">
        <v>5170</v>
      </c>
      <c r="E1109" s="3" t="s">
        <v>47</v>
      </c>
      <c r="F1109" s="3" t="s">
        <v>47</v>
      </c>
      <c r="G1109" s="3" t="s">
        <v>963</v>
      </c>
      <c r="H1109" s="3" t="s">
        <v>47</v>
      </c>
      <c r="I1109" t="str">
        <f t="shared" si="34"/>
        <v>VERIFICAR</v>
      </c>
      <c r="J1109">
        <f t="shared" si="35"/>
        <v>0</v>
      </c>
    </row>
    <row r="1110" spans="1:10" ht="15" customHeight="1" x14ac:dyDescent="0.2">
      <c r="A1110" s="4" t="s">
        <v>5171</v>
      </c>
      <c r="B1110" s="4" t="s">
        <v>5172</v>
      </c>
      <c r="C1110" s="4" t="s">
        <v>5173</v>
      </c>
      <c r="D1110" s="4" t="s">
        <v>5174</v>
      </c>
      <c r="E1110" s="4" t="s">
        <v>5175</v>
      </c>
      <c r="F1110" s="4" t="s">
        <v>5153</v>
      </c>
      <c r="G1110" s="4" t="s">
        <v>5176</v>
      </c>
      <c r="H1110" s="4" t="s">
        <v>47</v>
      </c>
      <c r="I1110" t="str">
        <f t="shared" si="34"/>
        <v>VERIFICAR</v>
      </c>
      <c r="J1110">
        <f t="shared" si="35"/>
        <v>6057.8899999999994</v>
      </c>
    </row>
    <row r="1111" spans="1:10" ht="15" customHeight="1" x14ac:dyDescent="0.2">
      <c r="A1111" s="3" t="s">
        <v>5177</v>
      </c>
      <c r="B1111" s="3" t="s">
        <v>5178</v>
      </c>
      <c r="C1111" s="3" t="s">
        <v>5179</v>
      </c>
      <c r="D1111" s="3" t="s">
        <v>5180</v>
      </c>
      <c r="E1111" s="3" t="s">
        <v>5181</v>
      </c>
      <c r="F1111" s="3" t="s">
        <v>47</v>
      </c>
      <c r="G1111" s="3" t="s">
        <v>5182</v>
      </c>
      <c r="H1111" s="3" t="s">
        <v>47</v>
      </c>
      <c r="I1111" t="str">
        <f t="shared" si="34"/>
        <v>VERIFICAR</v>
      </c>
      <c r="J1111">
        <f t="shared" si="35"/>
        <v>23650</v>
      </c>
    </row>
    <row r="1112" spans="1:10" ht="15" customHeight="1" x14ac:dyDescent="0.2">
      <c r="A1112" s="4" t="s">
        <v>5183</v>
      </c>
      <c r="B1112" s="4" t="s">
        <v>5184</v>
      </c>
      <c r="C1112" s="4" t="s">
        <v>5185</v>
      </c>
      <c r="D1112" s="4" t="s">
        <v>47</v>
      </c>
      <c r="E1112" s="4" t="s">
        <v>5186</v>
      </c>
      <c r="F1112" s="4" t="s">
        <v>47</v>
      </c>
      <c r="G1112" s="4" t="s">
        <v>5187</v>
      </c>
      <c r="H1112" s="4" t="s">
        <v>47</v>
      </c>
      <c r="I1112" t="str">
        <f t="shared" si="34"/>
        <v>VERIFICAR</v>
      </c>
      <c r="J1112">
        <f t="shared" si="35"/>
        <v>345.48</v>
      </c>
    </row>
    <row r="1113" spans="1:10" ht="15" customHeight="1" x14ac:dyDescent="0.2">
      <c r="A1113" s="3" t="s">
        <v>5188</v>
      </c>
      <c r="B1113" s="3" t="s">
        <v>5189</v>
      </c>
      <c r="C1113" s="3" t="s">
        <v>47</v>
      </c>
      <c r="D1113" s="3" t="s">
        <v>47</v>
      </c>
      <c r="E1113" s="3" t="s">
        <v>5190</v>
      </c>
      <c r="F1113" s="3" t="s">
        <v>47</v>
      </c>
      <c r="G1113" s="3" t="s">
        <v>5191</v>
      </c>
      <c r="H1113" s="3" t="s">
        <v>47</v>
      </c>
      <c r="I1113" t="str">
        <f t="shared" si="34"/>
        <v>VERIFICAR</v>
      </c>
      <c r="J1113">
        <f t="shared" si="35"/>
        <v>8564.26</v>
      </c>
    </row>
    <row r="1114" spans="1:10" ht="15" customHeight="1" x14ac:dyDescent="0.2">
      <c r="A1114" s="4" t="s">
        <v>5192</v>
      </c>
      <c r="B1114" s="4" t="s">
        <v>5193</v>
      </c>
      <c r="C1114" s="4" t="s">
        <v>5194</v>
      </c>
      <c r="D1114" s="4" t="s">
        <v>5195</v>
      </c>
      <c r="E1114" s="4" t="s">
        <v>5190</v>
      </c>
      <c r="F1114" s="4" t="s">
        <v>47</v>
      </c>
      <c r="G1114" s="4" t="s">
        <v>5191</v>
      </c>
      <c r="H1114" s="4" t="s">
        <v>47</v>
      </c>
      <c r="I1114" t="str">
        <f t="shared" si="34"/>
        <v>VERIFICAR</v>
      </c>
      <c r="J1114">
        <f t="shared" si="35"/>
        <v>8564.26</v>
      </c>
    </row>
    <row r="1115" spans="1:10" ht="15" customHeight="1" x14ac:dyDescent="0.2">
      <c r="A1115" s="3" t="s">
        <v>5196</v>
      </c>
      <c r="B1115" s="3" t="s">
        <v>5197</v>
      </c>
      <c r="C1115" s="3" t="s">
        <v>47</v>
      </c>
      <c r="D1115" s="3" t="s">
        <v>47</v>
      </c>
      <c r="E1115" s="3" t="s">
        <v>5198</v>
      </c>
      <c r="F1115" s="3" t="s">
        <v>5199</v>
      </c>
      <c r="G1115" s="3" t="s">
        <v>5200</v>
      </c>
      <c r="H1115" s="3" t="s">
        <v>47</v>
      </c>
      <c r="I1115" t="str">
        <f t="shared" si="34"/>
        <v>VERIFICAR</v>
      </c>
      <c r="J1115">
        <f t="shared" si="35"/>
        <v>898012.23</v>
      </c>
    </row>
    <row r="1116" spans="1:10" ht="15" customHeight="1" x14ac:dyDescent="0.2">
      <c r="A1116" s="4" t="s">
        <v>5201</v>
      </c>
      <c r="B1116" s="4" t="s">
        <v>5202</v>
      </c>
      <c r="C1116" s="4" t="s">
        <v>5203</v>
      </c>
      <c r="D1116" s="4" t="s">
        <v>5204</v>
      </c>
      <c r="E1116" s="4" t="s">
        <v>5198</v>
      </c>
      <c r="F1116" s="4" t="s">
        <v>5199</v>
      </c>
      <c r="G1116" s="4" t="s">
        <v>5200</v>
      </c>
      <c r="H1116" s="4" t="s">
        <v>47</v>
      </c>
      <c r="I1116" t="str">
        <f t="shared" si="34"/>
        <v>VERIFICAR</v>
      </c>
      <c r="J1116">
        <f t="shared" si="35"/>
        <v>898012.23</v>
      </c>
    </row>
    <row r="1117" spans="1:10" ht="15" customHeight="1" x14ac:dyDescent="0.2">
      <c r="A1117" s="3" t="s">
        <v>5205</v>
      </c>
      <c r="B1117" s="3" t="s">
        <v>5206</v>
      </c>
      <c r="C1117" s="3" t="s">
        <v>47</v>
      </c>
      <c r="D1117" s="3" t="s">
        <v>47</v>
      </c>
      <c r="E1117" s="3" t="s">
        <v>4088</v>
      </c>
      <c r="F1117" s="3" t="s">
        <v>47</v>
      </c>
      <c r="G1117" s="3" t="s">
        <v>5207</v>
      </c>
      <c r="H1117" s="3" t="s">
        <v>47</v>
      </c>
      <c r="I1117" t="str">
        <f t="shared" si="34"/>
        <v>VERIFICAR</v>
      </c>
      <c r="J1117">
        <f t="shared" si="35"/>
        <v>64</v>
      </c>
    </row>
    <row r="1118" spans="1:10" ht="15" customHeight="1" x14ac:dyDescent="0.2">
      <c r="A1118" s="4" t="s">
        <v>5208</v>
      </c>
      <c r="B1118" s="4" t="s">
        <v>5144</v>
      </c>
      <c r="C1118" s="4" t="s">
        <v>47</v>
      </c>
      <c r="D1118" s="4" t="s">
        <v>47</v>
      </c>
      <c r="E1118" s="4" t="s">
        <v>47</v>
      </c>
      <c r="F1118" s="4" t="s">
        <v>47</v>
      </c>
      <c r="G1118" s="4" t="s">
        <v>5209</v>
      </c>
      <c r="H1118" s="4" t="s">
        <v>47</v>
      </c>
      <c r="I1118" t="str">
        <f t="shared" si="34"/>
        <v>VERIFICAR</v>
      </c>
      <c r="J1118">
        <f t="shared" si="35"/>
        <v>0</v>
      </c>
    </row>
    <row r="1119" spans="1:10" ht="15" customHeight="1" x14ac:dyDescent="0.2">
      <c r="A1119" s="3" t="s">
        <v>5210</v>
      </c>
      <c r="B1119" s="3" t="s">
        <v>5147</v>
      </c>
      <c r="C1119" s="3" t="s">
        <v>1527</v>
      </c>
      <c r="D1119" s="3" t="s">
        <v>639</v>
      </c>
      <c r="E1119" s="3" t="s">
        <v>47</v>
      </c>
      <c r="F1119" s="3" t="s">
        <v>47</v>
      </c>
      <c r="G1119" s="3" t="s">
        <v>5209</v>
      </c>
      <c r="H1119" s="3" t="s">
        <v>47</v>
      </c>
      <c r="I1119" t="str">
        <f t="shared" si="34"/>
        <v>VERIFICAR</v>
      </c>
      <c r="J1119">
        <f t="shared" si="35"/>
        <v>0</v>
      </c>
    </row>
    <row r="1120" spans="1:10" ht="15" customHeight="1" x14ac:dyDescent="0.2">
      <c r="A1120" s="4" t="s">
        <v>5211</v>
      </c>
      <c r="B1120" s="4" t="s">
        <v>5212</v>
      </c>
      <c r="C1120" s="4" t="s">
        <v>47</v>
      </c>
      <c r="D1120" s="4" t="s">
        <v>47</v>
      </c>
      <c r="E1120" s="4" t="s">
        <v>4088</v>
      </c>
      <c r="F1120" s="4" t="s">
        <v>47</v>
      </c>
      <c r="G1120" s="4" t="s">
        <v>5213</v>
      </c>
      <c r="H1120" s="4" t="s">
        <v>47</v>
      </c>
      <c r="I1120" t="str">
        <f t="shared" si="34"/>
        <v>VERIFICAR</v>
      </c>
      <c r="J1120">
        <f t="shared" si="35"/>
        <v>64</v>
      </c>
    </row>
    <row r="1121" spans="1:10" ht="15" customHeight="1" x14ac:dyDescent="0.2">
      <c r="A1121" s="3" t="s">
        <v>5214</v>
      </c>
      <c r="B1121" s="3" t="s">
        <v>5215</v>
      </c>
      <c r="C1121" s="3" t="s">
        <v>5216</v>
      </c>
      <c r="D1121" s="3" t="s">
        <v>5216</v>
      </c>
      <c r="E1121" s="3" t="s">
        <v>4088</v>
      </c>
      <c r="F1121" s="3" t="s">
        <v>47</v>
      </c>
      <c r="G1121" s="3" t="s">
        <v>4088</v>
      </c>
      <c r="H1121" s="3" t="s">
        <v>47</v>
      </c>
      <c r="I1121" t="str">
        <f t="shared" si="34"/>
        <v>VERIFICAR</v>
      </c>
      <c r="J1121">
        <f t="shared" si="35"/>
        <v>64</v>
      </c>
    </row>
    <row r="1122" spans="1:10" ht="15" customHeight="1" x14ac:dyDescent="0.2">
      <c r="A1122" s="4" t="s">
        <v>5217</v>
      </c>
      <c r="B1122" s="4" t="s">
        <v>5162</v>
      </c>
      <c r="C1122" s="4" t="s">
        <v>5218</v>
      </c>
      <c r="D1122" s="4" t="s">
        <v>5219</v>
      </c>
      <c r="E1122" s="4" t="s">
        <v>47</v>
      </c>
      <c r="F1122" s="4" t="s">
        <v>47</v>
      </c>
      <c r="G1122" s="4" t="s">
        <v>5220</v>
      </c>
      <c r="H1122" s="4" t="s">
        <v>47</v>
      </c>
      <c r="I1122" t="str">
        <f t="shared" si="34"/>
        <v>VERIFICAR</v>
      </c>
      <c r="J1122">
        <f t="shared" si="35"/>
        <v>0</v>
      </c>
    </row>
    <row r="1123" spans="1:10" ht="15" customHeight="1" x14ac:dyDescent="0.2">
      <c r="A1123" s="3" t="s">
        <v>5221</v>
      </c>
      <c r="B1123" s="3" t="s">
        <v>5168</v>
      </c>
      <c r="C1123" s="3" t="s">
        <v>4193</v>
      </c>
      <c r="D1123" s="3" t="s">
        <v>47</v>
      </c>
      <c r="E1123" s="3" t="s">
        <v>47</v>
      </c>
      <c r="F1123" s="3" t="s">
        <v>47</v>
      </c>
      <c r="G1123" s="3" t="s">
        <v>4193</v>
      </c>
      <c r="H1123" s="3" t="s">
        <v>47</v>
      </c>
      <c r="I1123" t="str">
        <f t="shared" si="34"/>
        <v>VERIFICAR</v>
      </c>
      <c r="J1123">
        <f t="shared" si="35"/>
        <v>0</v>
      </c>
    </row>
    <row r="1124" spans="1:10" ht="15" customHeight="1" x14ac:dyDescent="0.2">
      <c r="A1124" s="4" t="s">
        <v>5222</v>
      </c>
      <c r="B1124" s="4" t="s">
        <v>5172</v>
      </c>
      <c r="C1124" s="4" t="s">
        <v>5223</v>
      </c>
      <c r="D1124" s="4" t="s">
        <v>5224</v>
      </c>
      <c r="E1124" s="4" t="s">
        <v>47</v>
      </c>
      <c r="F1124" s="4" t="s">
        <v>47</v>
      </c>
      <c r="G1124" s="4" t="s">
        <v>5225</v>
      </c>
      <c r="H1124" s="4" t="s">
        <v>47</v>
      </c>
      <c r="I1124" t="str">
        <f t="shared" si="34"/>
        <v>VERIFICAR</v>
      </c>
      <c r="J1124">
        <f t="shared" si="35"/>
        <v>0</v>
      </c>
    </row>
    <row r="1125" spans="1:10" ht="15" customHeight="1" x14ac:dyDescent="0.2">
      <c r="A1125" s="3" t="s">
        <v>5226</v>
      </c>
      <c r="B1125" s="3" t="s">
        <v>5178</v>
      </c>
      <c r="C1125" s="3" t="s">
        <v>5227</v>
      </c>
      <c r="D1125" s="3" t="s">
        <v>5228</v>
      </c>
      <c r="E1125" s="3" t="s">
        <v>47</v>
      </c>
      <c r="F1125" s="3" t="s">
        <v>47</v>
      </c>
      <c r="G1125" s="3" t="s">
        <v>47</v>
      </c>
      <c r="H1125" s="3" t="s">
        <v>5229</v>
      </c>
      <c r="I1125" t="str">
        <f t="shared" si="34"/>
        <v>VERIFICAR</v>
      </c>
      <c r="J1125">
        <f t="shared" si="35"/>
        <v>0</v>
      </c>
    </row>
    <row r="1126" spans="1:10" ht="15" customHeight="1" x14ac:dyDescent="0.2">
      <c r="A1126" s="4" t="s">
        <v>5230</v>
      </c>
      <c r="B1126" s="4" t="s">
        <v>5231</v>
      </c>
      <c r="C1126" s="4" t="s">
        <v>47</v>
      </c>
      <c r="D1126" s="4" t="s">
        <v>47</v>
      </c>
      <c r="E1126" s="4" t="s">
        <v>5232</v>
      </c>
      <c r="F1126" s="4" t="s">
        <v>5233</v>
      </c>
      <c r="G1126" s="4" t="s">
        <v>5234</v>
      </c>
      <c r="H1126" s="4" t="s">
        <v>47</v>
      </c>
      <c r="I1126" t="str">
        <f t="shared" si="34"/>
        <v>VERIFICAR</v>
      </c>
      <c r="J1126">
        <f t="shared" si="35"/>
        <v>272157.11</v>
      </c>
    </row>
    <row r="1127" spans="1:10" ht="15" customHeight="1" x14ac:dyDescent="0.2">
      <c r="A1127" s="3" t="s">
        <v>5235</v>
      </c>
      <c r="B1127" s="3" t="s">
        <v>5231</v>
      </c>
      <c r="C1127" s="3" t="s">
        <v>47</v>
      </c>
      <c r="D1127" s="3" t="s">
        <v>47</v>
      </c>
      <c r="E1127" s="3" t="s">
        <v>5232</v>
      </c>
      <c r="F1127" s="3" t="s">
        <v>5233</v>
      </c>
      <c r="G1127" s="3" t="s">
        <v>5234</v>
      </c>
      <c r="H1127" s="3" t="s">
        <v>47</v>
      </c>
      <c r="I1127" t="str">
        <f t="shared" si="34"/>
        <v>VERIFICAR</v>
      </c>
      <c r="J1127">
        <f t="shared" si="35"/>
        <v>272157.11</v>
      </c>
    </row>
    <row r="1128" spans="1:10" ht="15" customHeight="1" x14ac:dyDescent="0.2">
      <c r="A1128" s="4" t="s">
        <v>5236</v>
      </c>
      <c r="B1128" s="4" t="s">
        <v>5237</v>
      </c>
      <c r="C1128" s="4" t="s">
        <v>47</v>
      </c>
      <c r="D1128" s="4" t="s">
        <v>47</v>
      </c>
      <c r="E1128" s="4" t="s">
        <v>5238</v>
      </c>
      <c r="F1128" s="4" t="s">
        <v>5239</v>
      </c>
      <c r="G1128" s="4" t="s">
        <v>5240</v>
      </c>
      <c r="H1128" s="4" t="s">
        <v>47</v>
      </c>
      <c r="I1128" t="str">
        <f t="shared" si="34"/>
        <v>VERIFICAR</v>
      </c>
      <c r="J1128">
        <f t="shared" si="35"/>
        <v>144114.60999999999</v>
      </c>
    </row>
    <row r="1129" spans="1:10" ht="15" customHeight="1" x14ac:dyDescent="0.2">
      <c r="A1129" s="3" t="s">
        <v>5241</v>
      </c>
      <c r="B1129" s="3" t="s">
        <v>5242</v>
      </c>
      <c r="C1129" s="3" t="s">
        <v>47</v>
      </c>
      <c r="D1129" s="3" t="s">
        <v>47</v>
      </c>
      <c r="E1129" s="3" t="s">
        <v>5243</v>
      </c>
      <c r="F1129" s="3" t="s">
        <v>5239</v>
      </c>
      <c r="G1129" s="3" t="s">
        <v>5244</v>
      </c>
      <c r="H1129" s="3" t="s">
        <v>47</v>
      </c>
      <c r="I1129" t="str">
        <f t="shared" si="34"/>
        <v>VERIFICAR</v>
      </c>
      <c r="J1129">
        <f t="shared" si="35"/>
        <v>15860.11</v>
      </c>
    </row>
    <row r="1130" spans="1:10" ht="15" customHeight="1" x14ac:dyDescent="0.2">
      <c r="A1130" s="4" t="s">
        <v>5245</v>
      </c>
      <c r="B1130" s="4" t="s">
        <v>5070</v>
      </c>
      <c r="C1130" s="4" t="s">
        <v>5246</v>
      </c>
      <c r="D1130" s="4" t="s">
        <v>5247</v>
      </c>
      <c r="E1130" s="4" t="s">
        <v>5073</v>
      </c>
      <c r="F1130" s="4" t="s">
        <v>47</v>
      </c>
      <c r="G1130" s="4" t="s">
        <v>5074</v>
      </c>
      <c r="H1130" s="4" t="s">
        <v>47</v>
      </c>
      <c r="I1130" t="str">
        <f t="shared" si="34"/>
        <v>VERIFICAR</v>
      </c>
      <c r="J1130">
        <f t="shared" si="35"/>
        <v>1621</v>
      </c>
    </row>
    <row r="1131" spans="1:10" ht="15" customHeight="1" x14ac:dyDescent="0.2">
      <c r="A1131" s="3" t="s">
        <v>5248</v>
      </c>
      <c r="B1131" s="3" t="s">
        <v>5076</v>
      </c>
      <c r="C1131" s="3" t="s">
        <v>5249</v>
      </c>
      <c r="D1131" s="3" t="s">
        <v>5250</v>
      </c>
      <c r="E1131" s="3" t="s">
        <v>5251</v>
      </c>
      <c r="F1131" s="3" t="s">
        <v>5239</v>
      </c>
      <c r="G1131" s="3" t="s">
        <v>5252</v>
      </c>
      <c r="H1131" s="3" t="s">
        <v>47</v>
      </c>
      <c r="I1131" t="str">
        <f t="shared" si="34"/>
        <v>VERIFICAR</v>
      </c>
      <c r="J1131">
        <f t="shared" si="35"/>
        <v>10948.24</v>
      </c>
    </row>
    <row r="1132" spans="1:10" ht="15" customHeight="1" x14ac:dyDescent="0.2">
      <c r="A1132" s="4" t="s">
        <v>5253</v>
      </c>
      <c r="B1132" s="4" t="s">
        <v>5082</v>
      </c>
      <c r="C1132" s="4" t="s">
        <v>5254</v>
      </c>
      <c r="D1132" s="4" t="s">
        <v>5255</v>
      </c>
      <c r="E1132" s="4" t="s">
        <v>47</v>
      </c>
      <c r="F1132" s="4" t="s">
        <v>47</v>
      </c>
      <c r="G1132" s="4" t="s">
        <v>5256</v>
      </c>
      <c r="H1132" s="4" t="s">
        <v>47</v>
      </c>
      <c r="I1132" t="str">
        <f t="shared" si="34"/>
        <v>VERIFICAR</v>
      </c>
      <c r="J1132">
        <f t="shared" si="35"/>
        <v>0</v>
      </c>
    </row>
    <row r="1133" spans="1:10" ht="15" customHeight="1" x14ac:dyDescent="0.2">
      <c r="A1133" s="3" t="s">
        <v>5257</v>
      </c>
      <c r="B1133" s="3" t="s">
        <v>5087</v>
      </c>
      <c r="C1133" s="3" t="s">
        <v>5258</v>
      </c>
      <c r="D1133" s="3" t="s">
        <v>5259</v>
      </c>
      <c r="E1133" s="3" t="s">
        <v>47</v>
      </c>
      <c r="F1133" s="3" t="s">
        <v>47</v>
      </c>
      <c r="G1133" s="3" t="s">
        <v>5260</v>
      </c>
      <c r="H1133" s="3" t="s">
        <v>47</v>
      </c>
      <c r="I1133" t="str">
        <f t="shared" si="34"/>
        <v>VERIFICAR</v>
      </c>
      <c r="J1133">
        <f t="shared" si="35"/>
        <v>0</v>
      </c>
    </row>
    <row r="1134" spans="1:10" ht="15" customHeight="1" x14ac:dyDescent="0.2">
      <c r="A1134" s="4" t="s">
        <v>5261</v>
      </c>
      <c r="B1134" s="4" t="s">
        <v>4674</v>
      </c>
      <c r="C1134" s="4" t="s">
        <v>5262</v>
      </c>
      <c r="D1134" s="4" t="s">
        <v>5263</v>
      </c>
      <c r="E1134" s="4" t="s">
        <v>5264</v>
      </c>
      <c r="F1134" s="4" t="s">
        <v>47</v>
      </c>
      <c r="G1134" s="4" t="s">
        <v>5265</v>
      </c>
      <c r="H1134" s="4" t="s">
        <v>47</v>
      </c>
      <c r="I1134" t="str">
        <f t="shared" si="34"/>
        <v>VERIFICAR</v>
      </c>
      <c r="J1134">
        <f t="shared" si="35"/>
        <v>1570.79</v>
      </c>
    </row>
    <row r="1135" spans="1:10" ht="15" customHeight="1" x14ac:dyDescent="0.2">
      <c r="A1135" s="3" t="s">
        <v>5266</v>
      </c>
      <c r="B1135" s="3" t="s">
        <v>4681</v>
      </c>
      <c r="C1135" s="3" t="s">
        <v>5267</v>
      </c>
      <c r="D1135" s="3" t="s">
        <v>5268</v>
      </c>
      <c r="E1135" s="3" t="s">
        <v>5269</v>
      </c>
      <c r="F1135" s="3" t="s">
        <v>47</v>
      </c>
      <c r="G1135" s="3" t="s">
        <v>5270</v>
      </c>
      <c r="H1135" s="3" t="s">
        <v>47</v>
      </c>
      <c r="I1135" t="str">
        <f t="shared" si="34"/>
        <v>VERIFICAR</v>
      </c>
      <c r="J1135">
        <f t="shared" si="35"/>
        <v>372.12</v>
      </c>
    </row>
    <row r="1136" spans="1:10" ht="15" customHeight="1" x14ac:dyDescent="0.2">
      <c r="A1136" s="4" t="s">
        <v>5271</v>
      </c>
      <c r="B1136" s="4" t="s">
        <v>5102</v>
      </c>
      <c r="C1136" s="4" t="s">
        <v>5272</v>
      </c>
      <c r="D1136" s="4" t="s">
        <v>5273</v>
      </c>
      <c r="E1136" s="4" t="s">
        <v>5274</v>
      </c>
      <c r="F1136" s="4" t="s">
        <v>47</v>
      </c>
      <c r="G1136" s="4" t="s">
        <v>5275</v>
      </c>
      <c r="H1136" s="4" t="s">
        <v>47</v>
      </c>
      <c r="I1136" t="str">
        <f t="shared" si="34"/>
        <v>VERIFICAR</v>
      </c>
      <c r="J1136">
        <f t="shared" si="35"/>
        <v>616</v>
      </c>
    </row>
    <row r="1137" spans="1:10" ht="15" customHeight="1" x14ac:dyDescent="0.2">
      <c r="A1137" s="3" t="s">
        <v>5276</v>
      </c>
      <c r="B1137" s="3" t="s">
        <v>5108</v>
      </c>
      <c r="C1137" s="3" t="s">
        <v>5277</v>
      </c>
      <c r="D1137" s="3" t="s">
        <v>5278</v>
      </c>
      <c r="E1137" s="3" t="s">
        <v>5279</v>
      </c>
      <c r="F1137" s="3" t="s">
        <v>47</v>
      </c>
      <c r="G1137" s="3" t="s">
        <v>5280</v>
      </c>
      <c r="H1137" s="3" t="s">
        <v>47</v>
      </c>
      <c r="I1137" t="str">
        <f t="shared" si="34"/>
        <v>VERIFICAR</v>
      </c>
      <c r="J1137">
        <f t="shared" si="35"/>
        <v>424.75</v>
      </c>
    </row>
    <row r="1138" spans="1:10" ht="15" customHeight="1" x14ac:dyDescent="0.2">
      <c r="A1138" s="4" t="s">
        <v>5281</v>
      </c>
      <c r="B1138" s="4" t="s">
        <v>5114</v>
      </c>
      <c r="C1138" s="4" t="s">
        <v>5282</v>
      </c>
      <c r="D1138" s="4" t="s">
        <v>5283</v>
      </c>
      <c r="E1138" s="4" t="s">
        <v>5284</v>
      </c>
      <c r="F1138" s="4" t="s">
        <v>47</v>
      </c>
      <c r="G1138" s="4" t="s">
        <v>5285</v>
      </c>
      <c r="H1138" s="4" t="s">
        <v>47</v>
      </c>
      <c r="I1138" t="str">
        <f t="shared" si="34"/>
        <v>VERIFICAR</v>
      </c>
      <c r="J1138">
        <f t="shared" si="35"/>
        <v>307.20999999999998</v>
      </c>
    </row>
    <row r="1139" spans="1:10" ht="15" customHeight="1" x14ac:dyDescent="0.2">
      <c r="A1139" s="3" t="s">
        <v>5286</v>
      </c>
      <c r="B1139" s="3" t="s">
        <v>5287</v>
      </c>
      <c r="C1139" s="3" t="s">
        <v>47</v>
      </c>
      <c r="D1139" s="3" t="s">
        <v>47</v>
      </c>
      <c r="E1139" s="3" t="s">
        <v>5288</v>
      </c>
      <c r="F1139" s="3" t="s">
        <v>47</v>
      </c>
      <c r="G1139" s="3" t="s">
        <v>5289</v>
      </c>
      <c r="H1139" s="3" t="s">
        <v>47</v>
      </c>
      <c r="I1139" t="str">
        <f t="shared" si="34"/>
        <v>VERIFICAR</v>
      </c>
      <c r="J1139">
        <f t="shared" si="35"/>
        <v>23085.13</v>
      </c>
    </row>
    <row r="1140" spans="1:10" ht="15" customHeight="1" x14ac:dyDescent="0.2">
      <c r="A1140" s="4" t="s">
        <v>5290</v>
      </c>
      <c r="B1140" s="4" t="s">
        <v>5162</v>
      </c>
      <c r="C1140" s="4" t="s">
        <v>5291</v>
      </c>
      <c r="D1140" s="4" t="s">
        <v>5292</v>
      </c>
      <c r="E1140" s="4" t="s">
        <v>5288</v>
      </c>
      <c r="F1140" s="4" t="s">
        <v>47</v>
      </c>
      <c r="G1140" s="4" t="s">
        <v>5289</v>
      </c>
      <c r="H1140" s="4" t="s">
        <v>47</v>
      </c>
      <c r="I1140" t="str">
        <f t="shared" si="34"/>
        <v>VERIFICAR</v>
      </c>
      <c r="J1140">
        <f t="shared" si="35"/>
        <v>23085.13</v>
      </c>
    </row>
    <row r="1141" spans="1:10" ht="15" customHeight="1" x14ac:dyDescent="0.2">
      <c r="A1141" s="3" t="s">
        <v>5293</v>
      </c>
      <c r="B1141" s="3" t="s">
        <v>5294</v>
      </c>
      <c r="C1141" s="3" t="s">
        <v>47</v>
      </c>
      <c r="D1141" s="3" t="s">
        <v>47</v>
      </c>
      <c r="E1141" s="3" t="s">
        <v>5295</v>
      </c>
      <c r="F1141" s="3" t="s">
        <v>47</v>
      </c>
      <c r="G1141" s="3" t="s">
        <v>5296</v>
      </c>
      <c r="H1141" s="3" t="s">
        <v>47</v>
      </c>
      <c r="I1141" t="str">
        <f t="shared" si="34"/>
        <v>VERIFICAR</v>
      </c>
      <c r="J1141">
        <f t="shared" si="35"/>
        <v>113.56</v>
      </c>
    </row>
    <row r="1142" spans="1:10" ht="15" customHeight="1" x14ac:dyDescent="0.2">
      <c r="A1142" s="4" t="s">
        <v>5297</v>
      </c>
      <c r="B1142" s="4" t="s">
        <v>5294</v>
      </c>
      <c r="C1142" s="4" t="s">
        <v>5298</v>
      </c>
      <c r="D1142" s="4" t="s">
        <v>5299</v>
      </c>
      <c r="E1142" s="4" t="s">
        <v>5295</v>
      </c>
      <c r="F1142" s="4" t="s">
        <v>47</v>
      </c>
      <c r="G1142" s="4" t="s">
        <v>5296</v>
      </c>
      <c r="H1142" s="4" t="s">
        <v>47</v>
      </c>
      <c r="I1142" t="str">
        <f t="shared" si="34"/>
        <v>VERIFICAR</v>
      </c>
      <c r="J1142">
        <f t="shared" si="35"/>
        <v>113.56</v>
      </c>
    </row>
    <row r="1143" spans="1:10" ht="15" customHeight="1" x14ac:dyDescent="0.2">
      <c r="A1143" s="3" t="s">
        <v>5300</v>
      </c>
      <c r="B1143" s="3" t="s">
        <v>5301</v>
      </c>
      <c r="C1143" s="3" t="s">
        <v>47</v>
      </c>
      <c r="D1143" s="3" t="s">
        <v>47</v>
      </c>
      <c r="E1143" s="3" t="s">
        <v>5302</v>
      </c>
      <c r="F1143" s="3" t="s">
        <v>47</v>
      </c>
      <c r="G1143" s="3" t="s">
        <v>5303</v>
      </c>
      <c r="H1143" s="3" t="s">
        <v>47</v>
      </c>
      <c r="I1143" t="str">
        <f t="shared" si="34"/>
        <v>VERIFICAR</v>
      </c>
      <c r="J1143">
        <f t="shared" si="35"/>
        <v>11656.01</v>
      </c>
    </row>
    <row r="1144" spans="1:10" ht="15" customHeight="1" x14ac:dyDescent="0.2">
      <c r="A1144" s="4" t="s">
        <v>5304</v>
      </c>
      <c r="B1144" s="4" t="s">
        <v>5305</v>
      </c>
      <c r="C1144" s="4" t="s">
        <v>5306</v>
      </c>
      <c r="D1144" s="4" t="s">
        <v>5307</v>
      </c>
      <c r="E1144" s="4" t="s">
        <v>5302</v>
      </c>
      <c r="F1144" s="4" t="s">
        <v>47</v>
      </c>
      <c r="G1144" s="4" t="s">
        <v>5308</v>
      </c>
      <c r="H1144" s="4" t="s">
        <v>47</v>
      </c>
      <c r="I1144" t="str">
        <f t="shared" si="34"/>
        <v>VERIFICAR</v>
      </c>
      <c r="J1144">
        <f t="shared" si="35"/>
        <v>11656.01</v>
      </c>
    </row>
    <row r="1145" spans="1:10" ht="15" customHeight="1" x14ac:dyDescent="0.2">
      <c r="A1145" s="3" t="s">
        <v>5309</v>
      </c>
      <c r="B1145" s="3" t="s">
        <v>5310</v>
      </c>
      <c r="C1145" s="3" t="s">
        <v>5311</v>
      </c>
      <c r="D1145" s="3" t="s">
        <v>5312</v>
      </c>
      <c r="E1145" s="3" t="s">
        <v>47</v>
      </c>
      <c r="F1145" s="3" t="s">
        <v>47</v>
      </c>
      <c r="G1145" s="3" t="s">
        <v>5313</v>
      </c>
      <c r="H1145" s="3" t="s">
        <v>47</v>
      </c>
      <c r="I1145" t="str">
        <f t="shared" si="34"/>
        <v>VERIFICAR</v>
      </c>
      <c r="J1145">
        <f t="shared" si="35"/>
        <v>0</v>
      </c>
    </row>
    <row r="1146" spans="1:10" ht="15" customHeight="1" x14ac:dyDescent="0.2">
      <c r="A1146" s="4" t="s">
        <v>5314</v>
      </c>
      <c r="B1146" s="4" t="s">
        <v>5120</v>
      </c>
      <c r="C1146" s="4" t="s">
        <v>47</v>
      </c>
      <c r="D1146" s="4" t="s">
        <v>47</v>
      </c>
      <c r="E1146" s="4" t="s">
        <v>5315</v>
      </c>
      <c r="F1146" s="4" t="s">
        <v>47</v>
      </c>
      <c r="G1146" s="4" t="s">
        <v>5316</v>
      </c>
      <c r="H1146" s="4" t="s">
        <v>47</v>
      </c>
      <c r="I1146" t="str">
        <f t="shared" si="34"/>
        <v>VERIFICAR</v>
      </c>
      <c r="J1146">
        <f t="shared" si="35"/>
        <v>13255.88</v>
      </c>
    </row>
    <row r="1147" spans="1:10" ht="15" customHeight="1" x14ac:dyDescent="0.2">
      <c r="A1147" s="3" t="s">
        <v>5317</v>
      </c>
      <c r="B1147" s="3" t="s">
        <v>5124</v>
      </c>
      <c r="C1147" s="3" t="s">
        <v>5318</v>
      </c>
      <c r="D1147" s="3" t="s">
        <v>5319</v>
      </c>
      <c r="E1147" s="3" t="s">
        <v>5320</v>
      </c>
      <c r="F1147" s="3" t="s">
        <v>47</v>
      </c>
      <c r="G1147" s="3" t="s">
        <v>5321</v>
      </c>
      <c r="H1147" s="3" t="s">
        <v>47</v>
      </c>
      <c r="I1147" t="str">
        <f t="shared" si="34"/>
        <v>VERIFICAR</v>
      </c>
      <c r="J1147">
        <f t="shared" si="35"/>
        <v>780.12</v>
      </c>
    </row>
    <row r="1148" spans="1:10" ht="15" customHeight="1" x14ac:dyDescent="0.2">
      <c r="A1148" s="4" t="s">
        <v>5322</v>
      </c>
      <c r="B1148" s="4" t="s">
        <v>5133</v>
      </c>
      <c r="C1148" s="4" t="s">
        <v>5323</v>
      </c>
      <c r="D1148" s="4" t="s">
        <v>5324</v>
      </c>
      <c r="E1148" s="4" t="s">
        <v>5325</v>
      </c>
      <c r="F1148" s="4" t="s">
        <v>47</v>
      </c>
      <c r="G1148" s="4" t="s">
        <v>5326</v>
      </c>
      <c r="H1148" s="4" t="s">
        <v>47</v>
      </c>
      <c r="I1148" t="str">
        <f t="shared" si="34"/>
        <v>VERIFICAR</v>
      </c>
      <c r="J1148">
        <f t="shared" si="35"/>
        <v>8496.83</v>
      </c>
    </row>
    <row r="1149" spans="1:10" ht="15" customHeight="1" x14ac:dyDescent="0.2">
      <c r="A1149" s="3" t="s">
        <v>5327</v>
      </c>
      <c r="B1149" s="3" t="s">
        <v>5139</v>
      </c>
      <c r="C1149" s="3" t="s">
        <v>5328</v>
      </c>
      <c r="D1149" s="3" t="s">
        <v>5329</v>
      </c>
      <c r="E1149" s="3" t="s">
        <v>5330</v>
      </c>
      <c r="F1149" s="3" t="s">
        <v>47</v>
      </c>
      <c r="G1149" s="3" t="s">
        <v>5331</v>
      </c>
      <c r="H1149" s="3" t="s">
        <v>47</v>
      </c>
      <c r="I1149" t="str">
        <f t="shared" si="34"/>
        <v>VERIFICAR</v>
      </c>
      <c r="J1149">
        <f t="shared" si="35"/>
        <v>3978.93</v>
      </c>
    </row>
    <row r="1150" spans="1:10" ht="15" customHeight="1" x14ac:dyDescent="0.2">
      <c r="A1150" s="4" t="s">
        <v>5332</v>
      </c>
      <c r="B1150" s="4" t="s">
        <v>5144</v>
      </c>
      <c r="C1150" s="4" t="s">
        <v>47</v>
      </c>
      <c r="D1150" s="4" t="s">
        <v>47</v>
      </c>
      <c r="E1150" s="4" t="s">
        <v>47</v>
      </c>
      <c r="F1150" s="4" t="s">
        <v>47</v>
      </c>
      <c r="G1150" s="4" t="s">
        <v>5333</v>
      </c>
      <c r="H1150" s="4" t="s">
        <v>47</v>
      </c>
      <c r="I1150" t="str">
        <f t="shared" si="34"/>
        <v>VERIFICAR</v>
      </c>
      <c r="J1150">
        <f t="shared" si="35"/>
        <v>0</v>
      </c>
    </row>
    <row r="1151" spans="1:10" ht="15" customHeight="1" x14ac:dyDescent="0.2">
      <c r="A1151" s="3" t="s">
        <v>5334</v>
      </c>
      <c r="B1151" s="3" t="s">
        <v>5147</v>
      </c>
      <c r="C1151" s="3" t="s">
        <v>5335</v>
      </c>
      <c r="D1151" s="3" t="s">
        <v>5336</v>
      </c>
      <c r="E1151" s="3" t="s">
        <v>47</v>
      </c>
      <c r="F1151" s="3" t="s">
        <v>47</v>
      </c>
      <c r="G1151" s="3" t="s">
        <v>5333</v>
      </c>
      <c r="H1151" s="3" t="s">
        <v>47</v>
      </c>
      <c r="I1151" t="str">
        <f t="shared" si="34"/>
        <v>VERIFICAR</v>
      </c>
      <c r="J1151">
        <f t="shared" si="35"/>
        <v>0</v>
      </c>
    </row>
    <row r="1152" spans="1:10" ht="15" customHeight="1" x14ac:dyDescent="0.2">
      <c r="A1152" s="4" t="s">
        <v>5337</v>
      </c>
      <c r="B1152" s="4" t="s">
        <v>5338</v>
      </c>
      <c r="C1152" s="4" t="s">
        <v>47</v>
      </c>
      <c r="D1152" s="4" t="s">
        <v>47</v>
      </c>
      <c r="E1152" s="4" t="s">
        <v>5339</v>
      </c>
      <c r="F1152" s="4" t="s">
        <v>47</v>
      </c>
      <c r="G1152" s="4" t="s">
        <v>5340</v>
      </c>
      <c r="H1152" s="4" t="s">
        <v>47</v>
      </c>
      <c r="I1152" t="str">
        <f t="shared" si="34"/>
        <v>VERIFICAR</v>
      </c>
      <c r="J1152">
        <f t="shared" si="35"/>
        <v>80143.92</v>
      </c>
    </row>
    <row r="1153" spans="1:10" ht="15" customHeight="1" x14ac:dyDescent="0.2">
      <c r="A1153" s="3" t="s">
        <v>5341</v>
      </c>
      <c r="B1153" s="3" t="s">
        <v>5342</v>
      </c>
      <c r="C1153" s="3" t="s">
        <v>5343</v>
      </c>
      <c r="D1153" s="3" t="s">
        <v>5344</v>
      </c>
      <c r="E1153" s="3" t="s">
        <v>5339</v>
      </c>
      <c r="F1153" s="3" t="s">
        <v>47</v>
      </c>
      <c r="G1153" s="3" t="s">
        <v>5345</v>
      </c>
      <c r="H1153" s="3" t="s">
        <v>47</v>
      </c>
      <c r="I1153" t="str">
        <f t="shared" si="34"/>
        <v>VERIFICAR</v>
      </c>
      <c r="J1153">
        <f t="shared" si="35"/>
        <v>80143.92</v>
      </c>
    </row>
    <row r="1154" spans="1:10" ht="15" customHeight="1" x14ac:dyDescent="0.2">
      <c r="A1154" s="4" t="s">
        <v>5346</v>
      </c>
      <c r="B1154" s="4" t="s">
        <v>5347</v>
      </c>
      <c r="C1154" s="4" t="s">
        <v>5348</v>
      </c>
      <c r="D1154" s="4" t="s">
        <v>5349</v>
      </c>
      <c r="E1154" s="4" t="s">
        <v>47</v>
      </c>
      <c r="F1154" s="4" t="s">
        <v>47</v>
      </c>
      <c r="G1154" s="4" t="s">
        <v>5350</v>
      </c>
      <c r="H1154" s="4" t="s">
        <v>47</v>
      </c>
      <c r="I1154" t="str">
        <f t="shared" si="34"/>
        <v>VERIFICAR</v>
      </c>
      <c r="J1154">
        <f t="shared" si="35"/>
        <v>0</v>
      </c>
    </row>
    <row r="1155" spans="1:10" ht="15" customHeight="1" x14ac:dyDescent="0.2">
      <c r="A1155" s="3" t="s">
        <v>5351</v>
      </c>
      <c r="B1155" s="3" t="s">
        <v>5352</v>
      </c>
      <c r="C1155" s="3" t="s">
        <v>5353</v>
      </c>
      <c r="D1155" s="3" t="s">
        <v>5354</v>
      </c>
      <c r="E1155" s="3" t="s">
        <v>47</v>
      </c>
      <c r="F1155" s="3" t="s">
        <v>47</v>
      </c>
      <c r="G1155" s="3" t="s">
        <v>5355</v>
      </c>
      <c r="H1155" s="3" t="s">
        <v>47</v>
      </c>
      <c r="I1155" t="str">
        <f t="shared" si="34"/>
        <v>VERIFICAR</v>
      </c>
      <c r="J1155">
        <f t="shared" si="35"/>
        <v>0</v>
      </c>
    </row>
    <row r="1156" spans="1:10" ht="15" customHeight="1" x14ac:dyDescent="0.2">
      <c r="A1156" s="4" t="s">
        <v>5356</v>
      </c>
      <c r="B1156" s="4" t="s">
        <v>5357</v>
      </c>
      <c r="C1156" s="4" t="s">
        <v>47</v>
      </c>
      <c r="D1156" s="4" t="s">
        <v>47</v>
      </c>
      <c r="E1156" s="4" t="s">
        <v>5358</v>
      </c>
      <c r="F1156" s="4" t="s">
        <v>4182</v>
      </c>
      <c r="G1156" s="4" t="s">
        <v>5359</v>
      </c>
      <c r="H1156" s="4" t="s">
        <v>47</v>
      </c>
      <c r="I1156" t="str">
        <f t="shared" ref="I1156:I1219" si="36">IF(MID(A1156,1,1)="1",G1156-H1156,IF(MID(A1156,1,1)="2",H1156-G1156,"VERIFICAR"))</f>
        <v>VERIFICAR</v>
      </c>
      <c r="J1156">
        <f t="shared" ref="J1156:J1219" si="37">IF(MID(A1156,1,1)="1",H1156-I1156,IF(MID(B1156,1,1)="2",I1156-H1156,IF(MID(A1156,1,1)="3",F1156-E1156,IF(MID(A1156,1,1)="4",E1156-F1156,"VERIFICAR"))))</f>
        <v>128042.5</v>
      </c>
    </row>
    <row r="1157" spans="1:10" ht="15" customHeight="1" x14ac:dyDescent="0.2">
      <c r="A1157" s="3" t="s">
        <v>5360</v>
      </c>
      <c r="B1157" s="3" t="s">
        <v>5242</v>
      </c>
      <c r="C1157" s="3" t="s">
        <v>47</v>
      </c>
      <c r="D1157" s="3" t="s">
        <v>47</v>
      </c>
      <c r="E1157" s="3" t="s">
        <v>5361</v>
      </c>
      <c r="F1157" s="3" t="s">
        <v>4182</v>
      </c>
      <c r="G1157" s="3" t="s">
        <v>5362</v>
      </c>
      <c r="H1157" s="3" t="s">
        <v>47</v>
      </c>
      <c r="I1157" t="str">
        <f t="shared" si="36"/>
        <v>VERIFICAR</v>
      </c>
      <c r="J1157">
        <f t="shared" si="37"/>
        <v>53963.54</v>
      </c>
    </row>
    <row r="1158" spans="1:10" ht="15" customHeight="1" x14ac:dyDescent="0.2">
      <c r="A1158" s="4" t="s">
        <v>5363</v>
      </c>
      <c r="B1158" s="4" t="s">
        <v>5070</v>
      </c>
      <c r="C1158" s="4" t="s">
        <v>5364</v>
      </c>
      <c r="D1158" s="4" t="s">
        <v>5365</v>
      </c>
      <c r="E1158" s="4" t="s">
        <v>5073</v>
      </c>
      <c r="F1158" s="4" t="s">
        <v>47</v>
      </c>
      <c r="G1158" s="4" t="s">
        <v>5074</v>
      </c>
      <c r="H1158" s="4" t="s">
        <v>47</v>
      </c>
      <c r="I1158" t="str">
        <f t="shared" si="36"/>
        <v>VERIFICAR</v>
      </c>
      <c r="J1158">
        <f t="shared" si="37"/>
        <v>1621</v>
      </c>
    </row>
    <row r="1159" spans="1:10" ht="15" customHeight="1" x14ac:dyDescent="0.2">
      <c r="A1159" s="3" t="s">
        <v>5366</v>
      </c>
      <c r="B1159" s="3" t="s">
        <v>5076</v>
      </c>
      <c r="C1159" s="3" t="s">
        <v>5367</v>
      </c>
      <c r="D1159" s="3" t="s">
        <v>5368</v>
      </c>
      <c r="E1159" s="3" t="s">
        <v>5369</v>
      </c>
      <c r="F1159" s="3" t="s">
        <v>47</v>
      </c>
      <c r="G1159" s="3" t="s">
        <v>5370</v>
      </c>
      <c r="H1159" s="3" t="s">
        <v>47</v>
      </c>
      <c r="I1159" t="str">
        <f t="shared" si="36"/>
        <v>VERIFICAR</v>
      </c>
      <c r="J1159">
        <f t="shared" si="37"/>
        <v>33087.040000000001</v>
      </c>
    </row>
    <row r="1160" spans="1:10" ht="15" customHeight="1" x14ac:dyDescent="0.2">
      <c r="A1160" s="4" t="s">
        <v>5371</v>
      </c>
      <c r="B1160" s="4" t="s">
        <v>5372</v>
      </c>
      <c r="C1160" s="4" t="s">
        <v>5373</v>
      </c>
      <c r="D1160" s="4" t="s">
        <v>5374</v>
      </c>
      <c r="E1160" s="4" t="s">
        <v>47</v>
      </c>
      <c r="F1160" s="4" t="s">
        <v>47</v>
      </c>
      <c r="G1160" s="4" t="s">
        <v>5375</v>
      </c>
      <c r="H1160" s="4" t="s">
        <v>47</v>
      </c>
      <c r="I1160" t="str">
        <f t="shared" si="36"/>
        <v>VERIFICAR</v>
      </c>
      <c r="J1160">
        <f t="shared" si="37"/>
        <v>0</v>
      </c>
    </row>
    <row r="1161" spans="1:10" ht="15" customHeight="1" x14ac:dyDescent="0.2">
      <c r="A1161" s="3" t="s">
        <v>5376</v>
      </c>
      <c r="B1161" s="3" t="s">
        <v>4674</v>
      </c>
      <c r="C1161" s="3" t="s">
        <v>5377</v>
      </c>
      <c r="D1161" s="3" t="s">
        <v>5378</v>
      </c>
      <c r="E1161" s="3" t="s">
        <v>5379</v>
      </c>
      <c r="F1161" s="3" t="s">
        <v>47</v>
      </c>
      <c r="G1161" s="3" t="s">
        <v>5380</v>
      </c>
      <c r="H1161" s="3" t="s">
        <v>47</v>
      </c>
      <c r="I1161" t="str">
        <f t="shared" si="36"/>
        <v>VERIFICAR</v>
      </c>
      <c r="J1161">
        <f t="shared" si="37"/>
        <v>4034</v>
      </c>
    </row>
    <row r="1162" spans="1:10" ht="15" customHeight="1" x14ac:dyDescent="0.2">
      <c r="A1162" s="4" t="s">
        <v>5381</v>
      </c>
      <c r="B1162" s="4" t="s">
        <v>4681</v>
      </c>
      <c r="C1162" s="4" t="s">
        <v>5382</v>
      </c>
      <c r="D1162" s="4" t="s">
        <v>5383</v>
      </c>
      <c r="E1162" s="4" t="s">
        <v>5384</v>
      </c>
      <c r="F1162" s="4" t="s">
        <v>47</v>
      </c>
      <c r="G1162" s="4" t="s">
        <v>5385</v>
      </c>
      <c r="H1162" s="4" t="s">
        <v>47</v>
      </c>
      <c r="I1162" t="str">
        <f t="shared" si="36"/>
        <v>VERIFICAR</v>
      </c>
      <c r="J1162">
        <f t="shared" si="37"/>
        <v>1107.4000000000001</v>
      </c>
    </row>
    <row r="1163" spans="1:10" ht="15" customHeight="1" x14ac:dyDescent="0.2">
      <c r="A1163" s="3" t="s">
        <v>5386</v>
      </c>
      <c r="B1163" s="3" t="s">
        <v>5102</v>
      </c>
      <c r="C1163" s="3" t="s">
        <v>5387</v>
      </c>
      <c r="D1163" s="3" t="s">
        <v>5388</v>
      </c>
      <c r="E1163" s="3" t="s">
        <v>5389</v>
      </c>
      <c r="F1163" s="3" t="s">
        <v>47</v>
      </c>
      <c r="G1163" s="3" t="s">
        <v>5390</v>
      </c>
      <c r="H1163" s="3" t="s">
        <v>47</v>
      </c>
      <c r="I1163" t="str">
        <f t="shared" si="36"/>
        <v>VERIFICAR</v>
      </c>
      <c r="J1163">
        <f t="shared" si="37"/>
        <v>3030.28</v>
      </c>
    </row>
    <row r="1164" spans="1:10" ht="15" customHeight="1" x14ac:dyDescent="0.2">
      <c r="A1164" s="4" t="s">
        <v>5391</v>
      </c>
      <c r="B1164" s="4" t="s">
        <v>5392</v>
      </c>
      <c r="C1164" s="4" t="s">
        <v>5393</v>
      </c>
      <c r="D1164" s="4" t="s">
        <v>5394</v>
      </c>
      <c r="E1164" s="4" t="s">
        <v>5395</v>
      </c>
      <c r="F1164" s="4" t="s">
        <v>4182</v>
      </c>
      <c r="G1164" s="4" t="s">
        <v>5396</v>
      </c>
      <c r="H1164" s="4" t="s">
        <v>47</v>
      </c>
      <c r="I1164" t="str">
        <f t="shared" si="36"/>
        <v>VERIFICAR</v>
      </c>
      <c r="J1164">
        <f t="shared" si="37"/>
        <v>7444.36</v>
      </c>
    </row>
    <row r="1165" spans="1:10" ht="15" customHeight="1" x14ac:dyDescent="0.2">
      <c r="A1165" s="3" t="s">
        <v>5397</v>
      </c>
      <c r="B1165" s="3" t="s">
        <v>5398</v>
      </c>
      <c r="C1165" s="3" t="s">
        <v>5399</v>
      </c>
      <c r="D1165" s="3" t="s">
        <v>5400</v>
      </c>
      <c r="E1165" s="3" t="s">
        <v>47</v>
      </c>
      <c r="F1165" s="3" t="s">
        <v>47</v>
      </c>
      <c r="G1165" s="3" t="s">
        <v>5401</v>
      </c>
      <c r="H1165" s="3" t="s">
        <v>47</v>
      </c>
      <c r="I1165" t="str">
        <f t="shared" si="36"/>
        <v>VERIFICAR</v>
      </c>
      <c r="J1165">
        <f t="shared" si="37"/>
        <v>0</v>
      </c>
    </row>
    <row r="1166" spans="1:10" ht="15" customHeight="1" x14ac:dyDescent="0.2">
      <c r="A1166" s="4" t="s">
        <v>5402</v>
      </c>
      <c r="B1166" s="4" t="s">
        <v>5108</v>
      </c>
      <c r="C1166" s="4" t="s">
        <v>5403</v>
      </c>
      <c r="D1166" s="4" t="s">
        <v>5404</v>
      </c>
      <c r="E1166" s="4" t="s">
        <v>5405</v>
      </c>
      <c r="F1166" s="4" t="s">
        <v>47</v>
      </c>
      <c r="G1166" s="4" t="s">
        <v>5406</v>
      </c>
      <c r="H1166" s="4" t="s">
        <v>47</v>
      </c>
      <c r="I1166" t="str">
        <f t="shared" si="36"/>
        <v>VERIFICAR</v>
      </c>
      <c r="J1166">
        <f t="shared" si="37"/>
        <v>2084.4299999999998</v>
      </c>
    </row>
    <row r="1167" spans="1:10" ht="15" customHeight="1" x14ac:dyDescent="0.2">
      <c r="A1167" s="3" t="s">
        <v>5407</v>
      </c>
      <c r="B1167" s="3" t="s">
        <v>5114</v>
      </c>
      <c r="C1167" s="3" t="s">
        <v>5408</v>
      </c>
      <c r="D1167" s="3" t="s">
        <v>5409</v>
      </c>
      <c r="E1167" s="3" t="s">
        <v>5410</v>
      </c>
      <c r="F1167" s="3" t="s">
        <v>47</v>
      </c>
      <c r="G1167" s="3" t="s">
        <v>5411</v>
      </c>
      <c r="H1167" s="3" t="s">
        <v>47</v>
      </c>
      <c r="I1167" t="str">
        <f t="shared" si="36"/>
        <v>VERIFICAR</v>
      </c>
      <c r="J1167">
        <f t="shared" si="37"/>
        <v>1555.03</v>
      </c>
    </row>
    <row r="1168" spans="1:10" ht="15" customHeight="1" x14ac:dyDescent="0.2">
      <c r="A1168" s="4" t="s">
        <v>5412</v>
      </c>
      <c r="B1168" s="4" t="s">
        <v>5413</v>
      </c>
      <c r="C1168" s="4" t="s">
        <v>47</v>
      </c>
      <c r="D1168" s="4" t="s">
        <v>47</v>
      </c>
      <c r="E1168" s="4" t="s">
        <v>5414</v>
      </c>
      <c r="F1168" s="4" t="s">
        <v>47</v>
      </c>
      <c r="G1168" s="4" t="s">
        <v>5415</v>
      </c>
      <c r="H1168" s="4" t="s">
        <v>47</v>
      </c>
      <c r="I1168" t="str">
        <f t="shared" si="36"/>
        <v>VERIFICAR</v>
      </c>
      <c r="J1168">
        <f t="shared" si="37"/>
        <v>15028.71</v>
      </c>
    </row>
    <row r="1169" spans="1:10" ht="15" customHeight="1" x14ac:dyDescent="0.2">
      <c r="A1169" s="3" t="s">
        <v>5416</v>
      </c>
      <c r="B1169" s="3" t="s">
        <v>5417</v>
      </c>
      <c r="C1169" s="3" t="s">
        <v>5418</v>
      </c>
      <c r="D1169" s="3" t="s">
        <v>5419</v>
      </c>
      <c r="E1169" s="3" t="s">
        <v>2500</v>
      </c>
      <c r="F1169" s="3" t="s">
        <v>47</v>
      </c>
      <c r="G1169" s="3" t="s">
        <v>5420</v>
      </c>
      <c r="H1169" s="3" t="s">
        <v>47</v>
      </c>
      <c r="I1169" t="str">
        <f t="shared" si="36"/>
        <v>VERIFICAR</v>
      </c>
      <c r="J1169">
        <f t="shared" si="37"/>
        <v>3375</v>
      </c>
    </row>
    <row r="1170" spans="1:10" ht="15" customHeight="1" x14ac:dyDescent="0.2">
      <c r="A1170" s="4" t="s">
        <v>5421</v>
      </c>
      <c r="B1170" s="4" t="s">
        <v>5422</v>
      </c>
      <c r="C1170" s="4" t="s">
        <v>5423</v>
      </c>
      <c r="D1170" s="4" t="s">
        <v>5424</v>
      </c>
      <c r="E1170" s="4" t="s">
        <v>3222</v>
      </c>
      <c r="F1170" s="4" t="s">
        <v>47</v>
      </c>
      <c r="G1170" s="4" t="s">
        <v>5425</v>
      </c>
      <c r="H1170" s="4" t="s">
        <v>47</v>
      </c>
      <c r="I1170" t="str">
        <f t="shared" si="36"/>
        <v>VERIFICAR</v>
      </c>
      <c r="J1170">
        <f t="shared" si="37"/>
        <v>1034.4000000000001</v>
      </c>
    </row>
    <row r="1171" spans="1:10" ht="15" customHeight="1" x14ac:dyDescent="0.2">
      <c r="A1171" s="3" t="s">
        <v>5426</v>
      </c>
      <c r="B1171" s="3" t="s">
        <v>5427</v>
      </c>
      <c r="C1171" s="3" t="s">
        <v>5428</v>
      </c>
      <c r="D1171" s="3" t="s">
        <v>5429</v>
      </c>
      <c r="E1171" s="3" t="s">
        <v>47</v>
      </c>
      <c r="F1171" s="3" t="s">
        <v>47</v>
      </c>
      <c r="G1171" s="3" t="s">
        <v>5430</v>
      </c>
      <c r="H1171" s="3" t="s">
        <v>47</v>
      </c>
      <c r="I1171" t="str">
        <f t="shared" si="36"/>
        <v>VERIFICAR</v>
      </c>
      <c r="J1171">
        <f t="shared" si="37"/>
        <v>0</v>
      </c>
    </row>
    <row r="1172" spans="1:10" ht="15" customHeight="1" x14ac:dyDescent="0.2">
      <c r="A1172" s="4" t="s">
        <v>5431</v>
      </c>
      <c r="B1172" s="4" t="s">
        <v>5432</v>
      </c>
      <c r="C1172" s="4" t="s">
        <v>5433</v>
      </c>
      <c r="D1172" s="4" t="s">
        <v>5434</v>
      </c>
      <c r="E1172" s="4" t="s">
        <v>5435</v>
      </c>
      <c r="F1172" s="4" t="s">
        <v>47</v>
      </c>
      <c r="G1172" s="4" t="s">
        <v>5436</v>
      </c>
      <c r="H1172" s="4" t="s">
        <v>47</v>
      </c>
      <c r="I1172" t="str">
        <f t="shared" si="36"/>
        <v>VERIFICAR</v>
      </c>
      <c r="J1172">
        <f t="shared" si="37"/>
        <v>9444.1200000000008</v>
      </c>
    </row>
    <row r="1173" spans="1:10" ht="15" customHeight="1" x14ac:dyDescent="0.2">
      <c r="A1173" s="3" t="s">
        <v>5437</v>
      </c>
      <c r="B1173" s="3" t="s">
        <v>5438</v>
      </c>
      <c r="C1173" s="3" t="s">
        <v>5439</v>
      </c>
      <c r="D1173" s="3" t="s">
        <v>5440</v>
      </c>
      <c r="E1173" s="3" t="s">
        <v>3602</v>
      </c>
      <c r="F1173" s="3" t="s">
        <v>47</v>
      </c>
      <c r="G1173" s="3" t="s">
        <v>5441</v>
      </c>
      <c r="H1173" s="3" t="s">
        <v>47</v>
      </c>
      <c r="I1173" t="str">
        <f t="shared" si="36"/>
        <v>VERIFICAR</v>
      </c>
      <c r="J1173">
        <f t="shared" si="37"/>
        <v>360</v>
      </c>
    </row>
    <row r="1174" spans="1:10" ht="15" customHeight="1" x14ac:dyDescent="0.2">
      <c r="A1174" s="4" t="s">
        <v>5442</v>
      </c>
      <c r="B1174" s="4" t="s">
        <v>5443</v>
      </c>
      <c r="C1174" s="4" t="s">
        <v>5444</v>
      </c>
      <c r="D1174" s="4" t="s">
        <v>5445</v>
      </c>
      <c r="E1174" s="4" t="s">
        <v>5446</v>
      </c>
      <c r="F1174" s="4" t="s">
        <v>47</v>
      </c>
      <c r="G1174" s="4" t="s">
        <v>5447</v>
      </c>
      <c r="H1174" s="4" t="s">
        <v>47</v>
      </c>
      <c r="I1174" t="str">
        <f t="shared" si="36"/>
        <v>VERIFICAR</v>
      </c>
      <c r="J1174">
        <f t="shared" si="37"/>
        <v>189.44</v>
      </c>
    </row>
    <row r="1175" spans="1:10" ht="15" customHeight="1" x14ac:dyDescent="0.2">
      <c r="A1175" s="3" t="s">
        <v>5448</v>
      </c>
      <c r="B1175" s="3" t="s">
        <v>5178</v>
      </c>
      <c r="C1175" s="3" t="s">
        <v>5449</v>
      </c>
      <c r="D1175" s="3" t="s">
        <v>5450</v>
      </c>
      <c r="E1175" s="3" t="s">
        <v>5451</v>
      </c>
      <c r="F1175" s="3" t="s">
        <v>47</v>
      </c>
      <c r="G1175" s="3" t="s">
        <v>5452</v>
      </c>
      <c r="H1175" s="3" t="s">
        <v>47</v>
      </c>
      <c r="I1175" t="str">
        <f t="shared" si="36"/>
        <v>VERIFICAR</v>
      </c>
      <c r="J1175">
        <f t="shared" si="37"/>
        <v>625.75</v>
      </c>
    </row>
    <row r="1176" spans="1:10" ht="15" customHeight="1" x14ac:dyDescent="0.2">
      <c r="A1176" s="4" t="s">
        <v>5453</v>
      </c>
      <c r="B1176" s="4" t="s">
        <v>5454</v>
      </c>
      <c r="C1176" s="4" t="s">
        <v>47</v>
      </c>
      <c r="D1176" s="4" t="s">
        <v>47</v>
      </c>
      <c r="E1176" s="4" t="s">
        <v>1843</v>
      </c>
      <c r="F1176" s="4" t="s">
        <v>47</v>
      </c>
      <c r="G1176" s="4" t="s">
        <v>5455</v>
      </c>
      <c r="H1176" s="4" t="s">
        <v>47</v>
      </c>
      <c r="I1176" t="str">
        <f t="shared" si="36"/>
        <v>VERIFICAR</v>
      </c>
      <c r="J1176">
        <f t="shared" si="37"/>
        <v>22500</v>
      </c>
    </row>
    <row r="1177" spans="1:10" ht="15" customHeight="1" x14ac:dyDescent="0.2">
      <c r="A1177" s="3" t="s">
        <v>5456</v>
      </c>
      <c r="B1177" s="3" t="s">
        <v>5457</v>
      </c>
      <c r="C1177" s="3" t="s">
        <v>5458</v>
      </c>
      <c r="D1177" s="3" t="s">
        <v>5459</v>
      </c>
      <c r="E1177" s="3" t="s">
        <v>1843</v>
      </c>
      <c r="F1177" s="3" t="s">
        <v>47</v>
      </c>
      <c r="G1177" s="3" t="s">
        <v>5460</v>
      </c>
      <c r="H1177" s="3" t="s">
        <v>47</v>
      </c>
      <c r="I1177" t="str">
        <f t="shared" si="36"/>
        <v>VERIFICAR</v>
      </c>
      <c r="J1177">
        <f t="shared" si="37"/>
        <v>22500</v>
      </c>
    </row>
    <row r="1178" spans="1:10" ht="15" customHeight="1" x14ac:dyDescent="0.2">
      <c r="A1178" s="4" t="s">
        <v>5461</v>
      </c>
      <c r="B1178" s="4" t="s">
        <v>5462</v>
      </c>
      <c r="C1178" s="4" t="s">
        <v>5463</v>
      </c>
      <c r="D1178" s="4" t="s">
        <v>5464</v>
      </c>
      <c r="E1178" s="4" t="s">
        <v>47</v>
      </c>
      <c r="F1178" s="4" t="s">
        <v>47</v>
      </c>
      <c r="G1178" s="4" t="s">
        <v>1643</v>
      </c>
      <c r="H1178" s="4" t="s">
        <v>47</v>
      </c>
      <c r="I1178" t="str">
        <f t="shared" si="36"/>
        <v>VERIFICAR</v>
      </c>
      <c r="J1178">
        <f t="shared" si="37"/>
        <v>0</v>
      </c>
    </row>
    <row r="1179" spans="1:10" ht="15" customHeight="1" x14ac:dyDescent="0.2">
      <c r="A1179" s="3" t="s">
        <v>5465</v>
      </c>
      <c r="B1179" s="3" t="s">
        <v>5466</v>
      </c>
      <c r="C1179" s="3" t="s">
        <v>5467</v>
      </c>
      <c r="D1179" s="3" t="s">
        <v>5468</v>
      </c>
      <c r="E1179" s="3" t="s">
        <v>47</v>
      </c>
      <c r="F1179" s="3" t="s">
        <v>47</v>
      </c>
      <c r="G1179" s="3" t="s">
        <v>5469</v>
      </c>
      <c r="H1179" s="3" t="s">
        <v>47</v>
      </c>
      <c r="I1179" t="str">
        <f t="shared" si="36"/>
        <v>VERIFICAR</v>
      </c>
      <c r="J1179">
        <f t="shared" si="37"/>
        <v>0</v>
      </c>
    </row>
    <row r="1180" spans="1:10" ht="15" customHeight="1" x14ac:dyDescent="0.2">
      <c r="A1180" s="4" t="s">
        <v>5470</v>
      </c>
      <c r="B1180" s="4" t="s">
        <v>5471</v>
      </c>
      <c r="C1180" s="4" t="s">
        <v>47</v>
      </c>
      <c r="D1180" s="4" t="s">
        <v>47</v>
      </c>
      <c r="E1180" s="4" t="s">
        <v>5472</v>
      </c>
      <c r="F1180" s="4" t="s">
        <v>47</v>
      </c>
      <c r="G1180" s="4" t="s">
        <v>5473</v>
      </c>
      <c r="H1180" s="4" t="s">
        <v>47</v>
      </c>
      <c r="I1180" t="str">
        <f t="shared" si="36"/>
        <v>VERIFICAR</v>
      </c>
      <c r="J1180">
        <f t="shared" si="37"/>
        <v>4937.63</v>
      </c>
    </row>
    <row r="1181" spans="1:10" ht="15" customHeight="1" x14ac:dyDescent="0.2">
      <c r="A1181" s="3" t="s">
        <v>5474</v>
      </c>
      <c r="B1181" s="3" t="s">
        <v>5475</v>
      </c>
      <c r="C1181" s="3" t="s">
        <v>5476</v>
      </c>
      <c r="D1181" s="3" t="s">
        <v>5477</v>
      </c>
      <c r="E1181" s="3" t="s">
        <v>47</v>
      </c>
      <c r="F1181" s="3" t="s">
        <v>47</v>
      </c>
      <c r="G1181" s="3" t="s">
        <v>5478</v>
      </c>
      <c r="H1181" s="3" t="s">
        <v>47</v>
      </c>
      <c r="I1181" t="str">
        <f t="shared" si="36"/>
        <v>VERIFICAR</v>
      </c>
      <c r="J1181">
        <f t="shared" si="37"/>
        <v>0</v>
      </c>
    </row>
    <row r="1182" spans="1:10" ht="15" customHeight="1" x14ac:dyDescent="0.2">
      <c r="A1182" s="4" t="s">
        <v>5479</v>
      </c>
      <c r="B1182" s="4" t="s">
        <v>5480</v>
      </c>
      <c r="C1182" s="4" t="s">
        <v>5481</v>
      </c>
      <c r="D1182" s="4" t="s">
        <v>5482</v>
      </c>
      <c r="E1182" s="4" t="s">
        <v>47</v>
      </c>
      <c r="F1182" s="4" t="s">
        <v>47</v>
      </c>
      <c r="G1182" s="4" t="s">
        <v>5483</v>
      </c>
      <c r="H1182" s="4" t="s">
        <v>47</v>
      </c>
      <c r="I1182" t="str">
        <f t="shared" si="36"/>
        <v>VERIFICAR</v>
      </c>
      <c r="J1182">
        <f t="shared" si="37"/>
        <v>0</v>
      </c>
    </row>
    <row r="1183" spans="1:10" ht="15" customHeight="1" x14ac:dyDescent="0.2">
      <c r="A1183" s="3" t="s">
        <v>5484</v>
      </c>
      <c r="B1183" s="3" t="s">
        <v>5485</v>
      </c>
      <c r="C1183" s="3" t="s">
        <v>5486</v>
      </c>
      <c r="D1183" s="3" t="s">
        <v>5487</v>
      </c>
      <c r="E1183" s="3" t="s">
        <v>47</v>
      </c>
      <c r="F1183" s="3" t="s">
        <v>47</v>
      </c>
      <c r="G1183" s="3" t="s">
        <v>5488</v>
      </c>
      <c r="H1183" s="3" t="s">
        <v>47</v>
      </c>
      <c r="I1183" t="str">
        <f t="shared" si="36"/>
        <v>VERIFICAR</v>
      </c>
      <c r="J1183">
        <f t="shared" si="37"/>
        <v>0</v>
      </c>
    </row>
    <row r="1184" spans="1:10" ht="15" customHeight="1" x14ac:dyDescent="0.2">
      <c r="A1184" s="4" t="s">
        <v>5489</v>
      </c>
      <c r="B1184" s="4" t="s">
        <v>5490</v>
      </c>
      <c r="C1184" s="4" t="s">
        <v>5491</v>
      </c>
      <c r="D1184" s="4" t="s">
        <v>5492</v>
      </c>
      <c r="E1184" s="4" t="s">
        <v>47</v>
      </c>
      <c r="F1184" s="4" t="s">
        <v>47</v>
      </c>
      <c r="G1184" s="4" t="s">
        <v>5493</v>
      </c>
      <c r="H1184" s="4" t="s">
        <v>47</v>
      </c>
      <c r="I1184" t="str">
        <f t="shared" si="36"/>
        <v>VERIFICAR</v>
      </c>
      <c r="J1184">
        <f t="shared" si="37"/>
        <v>0</v>
      </c>
    </row>
    <row r="1185" spans="1:10" ht="15" customHeight="1" x14ac:dyDescent="0.2">
      <c r="A1185" s="3" t="s">
        <v>5494</v>
      </c>
      <c r="B1185" s="3" t="s">
        <v>5495</v>
      </c>
      <c r="C1185" s="3" t="s">
        <v>5496</v>
      </c>
      <c r="D1185" s="3" t="s">
        <v>5497</v>
      </c>
      <c r="E1185" s="3" t="s">
        <v>5472</v>
      </c>
      <c r="F1185" s="3" t="s">
        <v>47</v>
      </c>
      <c r="G1185" s="3" t="s">
        <v>5498</v>
      </c>
      <c r="H1185" s="3" t="s">
        <v>47</v>
      </c>
      <c r="I1185" t="str">
        <f t="shared" si="36"/>
        <v>VERIFICAR</v>
      </c>
      <c r="J1185">
        <f t="shared" si="37"/>
        <v>4937.63</v>
      </c>
    </row>
    <row r="1186" spans="1:10" ht="15" customHeight="1" x14ac:dyDescent="0.2">
      <c r="A1186" s="4" t="s">
        <v>5499</v>
      </c>
      <c r="B1186" s="4" t="s">
        <v>5500</v>
      </c>
      <c r="C1186" s="4" t="s">
        <v>47</v>
      </c>
      <c r="D1186" s="4" t="s">
        <v>47</v>
      </c>
      <c r="E1186" s="4" t="s">
        <v>5501</v>
      </c>
      <c r="F1186" s="4" t="s">
        <v>47</v>
      </c>
      <c r="G1186" s="4" t="s">
        <v>5502</v>
      </c>
      <c r="H1186" s="4" t="s">
        <v>47</v>
      </c>
      <c r="I1186" t="str">
        <f t="shared" si="36"/>
        <v>VERIFICAR</v>
      </c>
      <c r="J1186">
        <f t="shared" si="37"/>
        <v>5505.46</v>
      </c>
    </row>
    <row r="1187" spans="1:10" ht="15" customHeight="1" x14ac:dyDescent="0.2">
      <c r="A1187" s="3" t="s">
        <v>5503</v>
      </c>
      <c r="B1187" s="3" t="s">
        <v>5504</v>
      </c>
      <c r="C1187" s="3" t="s">
        <v>5505</v>
      </c>
      <c r="D1187" s="3" t="s">
        <v>5506</v>
      </c>
      <c r="E1187" s="3" t="s">
        <v>5507</v>
      </c>
      <c r="F1187" s="3" t="s">
        <v>47</v>
      </c>
      <c r="G1187" s="3" t="s">
        <v>5508</v>
      </c>
      <c r="H1187" s="3" t="s">
        <v>47</v>
      </c>
      <c r="I1187" t="str">
        <f t="shared" si="36"/>
        <v>VERIFICAR</v>
      </c>
      <c r="J1187">
        <f t="shared" si="37"/>
        <v>3419.28</v>
      </c>
    </row>
    <row r="1188" spans="1:10" ht="15" customHeight="1" x14ac:dyDescent="0.2">
      <c r="A1188" s="4" t="s">
        <v>5509</v>
      </c>
      <c r="B1188" s="4" t="s">
        <v>5510</v>
      </c>
      <c r="C1188" s="4" t="s">
        <v>5511</v>
      </c>
      <c r="D1188" s="4" t="s">
        <v>5512</v>
      </c>
      <c r="E1188" s="4" t="s">
        <v>5513</v>
      </c>
      <c r="F1188" s="4" t="s">
        <v>47</v>
      </c>
      <c r="G1188" s="4" t="s">
        <v>5514</v>
      </c>
      <c r="H1188" s="4" t="s">
        <v>47</v>
      </c>
      <c r="I1188" t="str">
        <f t="shared" si="36"/>
        <v>VERIFICAR</v>
      </c>
      <c r="J1188">
        <f t="shared" si="37"/>
        <v>1998.18</v>
      </c>
    </row>
    <row r="1189" spans="1:10" ht="15" customHeight="1" x14ac:dyDescent="0.2">
      <c r="A1189" s="3" t="s">
        <v>5515</v>
      </c>
      <c r="B1189" s="3" t="s">
        <v>5516</v>
      </c>
      <c r="C1189" s="3" t="s">
        <v>5517</v>
      </c>
      <c r="D1189" s="3" t="s">
        <v>5518</v>
      </c>
      <c r="E1189" s="3" t="s">
        <v>47</v>
      </c>
      <c r="F1189" s="3" t="s">
        <v>47</v>
      </c>
      <c r="G1189" s="3" t="s">
        <v>5519</v>
      </c>
      <c r="H1189" s="3" t="s">
        <v>47</v>
      </c>
      <c r="I1189" t="str">
        <f t="shared" si="36"/>
        <v>VERIFICAR</v>
      </c>
      <c r="J1189">
        <f t="shared" si="37"/>
        <v>0</v>
      </c>
    </row>
    <row r="1190" spans="1:10" ht="15" customHeight="1" x14ac:dyDescent="0.2">
      <c r="A1190" s="4" t="s">
        <v>5520</v>
      </c>
      <c r="B1190" s="4" t="s">
        <v>5521</v>
      </c>
      <c r="C1190" s="4" t="s">
        <v>5522</v>
      </c>
      <c r="D1190" s="4" t="s">
        <v>5523</v>
      </c>
      <c r="E1190" s="4" t="s">
        <v>4140</v>
      </c>
      <c r="F1190" s="4" t="s">
        <v>47</v>
      </c>
      <c r="G1190" s="4" t="s">
        <v>5524</v>
      </c>
      <c r="H1190" s="4" t="s">
        <v>47</v>
      </c>
      <c r="I1190" t="str">
        <f t="shared" si="36"/>
        <v>VERIFICAR</v>
      </c>
      <c r="J1190">
        <f t="shared" si="37"/>
        <v>88</v>
      </c>
    </row>
    <row r="1191" spans="1:10" ht="15" customHeight="1" x14ac:dyDescent="0.2">
      <c r="A1191" s="3" t="s">
        <v>5525</v>
      </c>
      <c r="B1191" s="3" t="s">
        <v>5120</v>
      </c>
      <c r="C1191" s="3" t="s">
        <v>47</v>
      </c>
      <c r="D1191" s="3" t="s">
        <v>47</v>
      </c>
      <c r="E1191" s="3" t="s">
        <v>47</v>
      </c>
      <c r="F1191" s="3" t="s">
        <v>47</v>
      </c>
      <c r="G1191" s="3" t="s">
        <v>5526</v>
      </c>
      <c r="H1191" s="3" t="s">
        <v>47</v>
      </c>
      <c r="I1191" t="str">
        <f t="shared" si="36"/>
        <v>VERIFICAR</v>
      </c>
      <c r="J1191">
        <f t="shared" si="37"/>
        <v>0</v>
      </c>
    </row>
    <row r="1192" spans="1:10" ht="15" customHeight="1" x14ac:dyDescent="0.2">
      <c r="A1192" s="4" t="s">
        <v>5527</v>
      </c>
      <c r="B1192" s="4" t="s">
        <v>5133</v>
      </c>
      <c r="C1192" s="4" t="s">
        <v>5528</v>
      </c>
      <c r="D1192" s="4" t="s">
        <v>5529</v>
      </c>
      <c r="E1192" s="4" t="s">
        <v>47</v>
      </c>
      <c r="F1192" s="4" t="s">
        <v>47</v>
      </c>
      <c r="G1192" s="4" t="s">
        <v>5526</v>
      </c>
      <c r="H1192" s="4" t="s">
        <v>47</v>
      </c>
      <c r="I1192" t="str">
        <f t="shared" si="36"/>
        <v>VERIFICAR</v>
      </c>
      <c r="J1192">
        <f t="shared" si="37"/>
        <v>0</v>
      </c>
    </row>
    <row r="1193" spans="1:10" ht="15" customHeight="1" x14ac:dyDescent="0.2">
      <c r="A1193" s="3" t="s">
        <v>5530</v>
      </c>
      <c r="B1193" s="3" t="s">
        <v>5144</v>
      </c>
      <c r="C1193" s="3" t="s">
        <v>47</v>
      </c>
      <c r="D1193" s="3" t="s">
        <v>47</v>
      </c>
      <c r="E1193" s="3" t="s">
        <v>3515</v>
      </c>
      <c r="F1193" s="3" t="s">
        <v>47</v>
      </c>
      <c r="G1193" s="3" t="s">
        <v>5531</v>
      </c>
      <c r="H1193" s="3" t="s">
        <v>47</v>
      </c>
      <c r="I1193" t="str">
        <f t="shared" si="36"/>
        <v>VERIFICAR</v>
      </c>
      <c r="J1193">
        <f t="shared" si="37"/>
        <v>258.26</v>
      </c>
    </row>
    <row r="1194" spans="1:10" ht="15" customHeight="1" x14ac:dyDescent="0.2">
      <c r="A1194" s="4" t="s">
        <v>5532</v>
      </c>
      <c r="B1194" s="4" t="s">
        <v>5147</v>
      </c>
      <c r="C1194" s="4" t="s">
        <v>5533</v>
      </c>
      <c r="D1194" s="4" t="s">
        <v>5534</v>
      </c>
      <c r="E1194" s="4" t="s">
        <v>3515</v>
      </c>
      <c r="F1194" s="4" t="s">
        <v>47</v>
      </c>
      <c r="G1194" s="4" t="s">
        <v>5531</v>
      </c>
      <c r="H1194" s="4" t="s">
        <v>47</v>
      </c>
      <c r="I1194" t="str">
        <f t="shared" si="36"/>
        <v>VERIFICAR</v>
      </c>
      <c r="J1194">
        <f t="shared" si="37"/>
        <v>258.26</v>
      </c>
    </row>
    <row r="1195" spans="1:10" ht="15" customHeight="1" x14ac:dyDescent="0.2">
      <c r="A1195" s="3" t="s">
        <v>5535</v>
      </c>
      <c r="B1195" s="3" t="s">
        <v>5536</v>
      </c>
      <c r="C1195" s="3" t="s">
        <v>47</v>
      </c>
      <c r="D1195" s="3" t="s">
        <v>47</v>
      </c>
      <c r="E1195" s="3" t="s">
        <v>5537</v>
      </c>
      <c r="F1195" s="3" t="s">
        <v>47</v>
      </c>
      <c r="G1195" s="3" t="s">
        <v>5538</v>
      </c>
      <c r="H1195" s="3" t="s">
        <v>47</v>
      </c>
      <c r="I1195" t="str">
        <f t="shared" si="36"/>
        <v>VERIFICAR</v>
      </c>
      <c r="J1195">
        <f t="shared" si="37"/>
        <v>6935.05</v>
      </c>
    </row>
    <row r="1196" spans="1:10" ht="15" customHeight="1" x14ac:dyDescent="0.2">
      <c r="A1196" s="4" t="s">
        <v>5539</v>
      </c>
      <c r="B1196" s="4" t="s">
        <v>5540</v>
      </c>
      <c r="C1196" s="4" t="s">
        <v>5541</v>
      </c>
      <c r="D1196" s="4" t="s">
        <v>5542</v>
      </c>
      <c r="E1196" s="4" t="s">
        <v>5543</v>
      </c>
      <c r="F1196" s="4" t="s">
        <v>47</v>
      </c>
      <c r="G1196" s="4" t="s">
        <v>5544</v>
      </c>
      <c r="H1196" s="4" t="s">
        <v>47</v>
      </c>
      <c r="I1196" t="str">
        <f t="shared" si="36"/>
        <v>VERIFICAR</v>
      </c>
      <c r="J1196">
        <f t="shared" si="37"/>
        <v>585.04999999999995</v>
      </c>
    </row>
    <row r="1197" spans="1:10" ht="15" customHeight="1" x14ac:dyDescent="0.2">
      <c r="A1197" s="3" t="s">
        <v>5545</v>
      </c>
      <c r="B1197" s="3" t="s">
        <v>5546</v>
      </c>
      <c r="C1197" s="3" t="s">
        <v>5547</v>
      </c>
      <c r="D1197" s="3" t="s">
        <v>5548</v>
      </c>
      <c r="E1197" s="3" t="s">
        <v>47</v>
      </c>
      <c r="F1197" s="3" t="s">
        <v>47</v>
      </c>
      <c r="G1197" s="3" t="s">
        <v>5549</v>
      </c>
      <c r="H1197" s="3" t="s">
        <v>47</v>
      </c>
      <c r="I1197" t="str">
        <f t="shared" si="36"/>
        <v>VERIFICAR</v>
      </c>
      <c r="J1197">
        <f t="shared" si="37"/>
        <v>0</v>
      </c>
    </row>
    <row r="1198" spans="1:10" ht="15" customHeight="1" x14ac:dyDescent="0.2">
      <c r="A1198" s="4" t="s">
        <v>5550</v>
      </c>
      <c r="B1198" s="4" t="s">
        <v>5551</v>
      </c>
      <c r="C1198" s="4" t="s">
        <v>5552</v>
      </c>
      <c r="D1198" s="4" t="s">
        <v>5552</v>
      </c>
      <c r="E1198" s="4" t="s">
        <v>3677</v>
      </c>
      <c r="F1198" s="4" t="s">
        <v>47</v>
      </c>
      <c r="G1198" s="4" t="s">
        <v>3677</v>
      </c>
      <c r="H1198" s="4" t="s">
        <v>47</v>
      </c>
      <c r="I1198" t="str">
        <f t="shared" si="36"/>
        <v>VERIFICAR</v>
      </c>
      <c r="J1198">
        <f t="shared" si="37"/>
        <v>6350</v>
      </c>
    </row>
    <row r="1199" spans="1:10" ht="15" customHeight="1" x14ac:dyDescent="0.2">
      <c r="A1199" s="3" t="s">
        <v>5553</v>
      </c>
      <c r="B1199" s="3" t="s">
        <v>5554</v>
      </c>
      <c r="C1199" s="3" t="s">
        <v>47</v>
      </c>
      <c r="D1199" s="3" t="s">
        <v>47</v>
      </c>
      <c r="E1199" s="3" t="s">
        <v>5555</v>
      </c>
      <c r="F1199" s="3" t="s">
        <v>47</v>
      </c>
      <c r="G1199" s="3" t="s">
        <v>5556</v>
      </c>
      <c r="H1199" s="3" t="s">
        <v>47</v>
      </c>
      <c r="I1199" t="str">
        <f t="shared" si="36"/>
        <v>VERIFICAR</v>
      </c>
      <c r="J1199">
        <f t="shared" si="37"/>
        <v>6958.2</v>
      </c>
    </row>
    <row r="1200" spans="1:10" ht="15" customHeight="1" x14ac:dyDescent="0.2">
      <c r="A1200" s="4" t="s">
        <v>5557</v>
      </c>
      <c r="B1200" s="4" t="s">
        <v>5558</v>
      </c>
      <c r="C1200" s="4" t="s">
        <v>5559</v>
      </c>
      <c r="D1200" s="4" t="s">
        <v>5560</v>
      </c>
      <c r="E1200" s="4" t="s">
        <v>5561</v>
      </c>
      <c r="F1200" s="4" t="s">
        <v>47</v>
      </c>
      <c r="G1200" s="4" t="s">
        <v>5562</v>
      </c>
      <c r="H1200" s="4" t="s">
        <v>47</v>
      </c>
      <c r="I1200" t="str">
        <f t="shared" si="36"/>
        <v>VERIFICAR</v>
      </c>
      <c r="J1200">
        <f t="shared" si="37"/>
        <v>1383.6</v>
      </c>
    </row>
    <row r="1201" spans="1:10" ht="15" customHeight="1" x14ac:dyDescent="0.2">
      <c r="A1201" s="3" t="s">
        <v>5563</v>
      </c>
      <c r="B1201" s="3" t="s">
        <v>5564</v>
      </c>
      <c r="C1201" s="3" t="s">
        <v>5565</v>
      </c>
      <c r="D1201" s="3" t="s">
        <v>5566</v>
      </c>
      <c r="E1201" s="3" t="s">
        <v>5567</v>
      </c>
      <c r="F1201" s="3" t="s">
        <v>47</v>
      </c>
      <c r="G1201" s="3" t="s">
        <v>5568</v>
      </c>
      <c r="H1201" s="3" t="s">
        <v>47</v>
      </c>
      <c r="I1201" t="str">
        <f t="shared" si="36"/>
        <v>VERIFICAR</v>
      </c>
      <c r="J1201">
        <f t="shared" si="37"/>
        <v>5372.15</v>
      </c>
    </row>
    <row r="1202" spans="1:10" ht="15" customHeight="1" x14ac:dyDescent="0.2">
      <c r="A1202" s="4" t="s">
        <v>5569</v>
      </c>
      <c r="B1202" s="4" t="s">
        <v>5570</v>
      </c>
      <c r="C1202" s="4" t="s">
        <v>5571</v>
      </c>
      <c r="D1202" s="4" t="s">
        <v>5572</v>
      </c>
      <c r="E1202" s="4" t="s">
        <v>5573</v>
      </c>
      <c r="F1202" s="4" t="s">
        <v>47</v>
      </c>
      <c r="G1202" s="4" t="s">
        <v>5574</v>
      </c>
      <c r="H1202" s="4" t="s">
        <v>47</v>
      </c>
      <c r="I1202" t="str">
        <f t="shared" si="36"/>
        <v>VERIFICAR</v>
      </c>
      <c r="J1202">
        <f t="shared" si="37"/>
        <v>202.45</v>
      </c>
    </row>
    <row r="1203" spans="1:10" ht="15" customHeight="1" x14ac:dyDescent="0.2">
      <c r="A1203" s="3" t="s">
        <v>5575</v>
      </c>
      <c r="B1203" s="3" t="s">
        <v>5576</v>
      </c>
      <c r="C1203" s="3" t="s">
        <v>47</v>
      </c>
      <c r="D1203" s="3" t="s">
        <v>47</v>
      </c>
      <c r="E1203" s="3" t="s">
        <v>5577</v>
      </c>
      <c r="F1203" s="3" t="s">
        <v>47</v>
      </c>
      <c r="G1203" s="3" t="s">
        <v>5578</v>
      </c>
      <c r="H1203" s="3" t="s">
        <v>47</v>
      </c>
      <c r="I1203" t="str">
        <f t="shared" si="36"/>
        <v>VERIFICAR</v>
      </c>
      <c r="J1203">
        <f t="shared" si="37"/>
        <v>11955.65</v>
      </c>
    </row>
    <row r="1204" spans="1:10" ht="15" customHeight="1" x14ac:dyDescent="0.2">
      <c r="A1204" s="4" t="s">
        <v>5579</v>
      </c>
      <c r="B1204" s="4" t="s">
        <v>5580</v>
      </c>
      <c r="C1204" s="4" t="s">
        <v>5581</v>
      </c>
      <c r="D1204" s="4" t="s">
        <v>5582</v>
      </c>
      <c r="E1204" s="4" t="s">
        <v>2937</v>
      </c>
      <c r="F1204" s="4" t="s">
        <v>47</v>
      </c>
      <c r="G1204" s="4" t="s">
        <v>5583</v>
      </c>
      <c r="H1204" s="4" t="s">
        <v>47</v>
      </c>
      <c r="I1204" t="str">
        <f t="shared" si="36"/>
        <v>VERIFICAR</v>
      </c>
      <c r="J1204">
        <f t="shared" si="37"/>
        <v>8575.15</v>
      </c>
    </row>
    <row r="1205" spans="1:10" ht="15" customHeight="1" x14ac:dyDescent="0.2">
      <c r="A1205" s="3" t="s">
        <v>5584</v>
      </c>
      <c r="B1205" s="3" t="s">
        <v>5585</v>
      </c>
      <c r="C1205" s="3" t="s">
        <v>5586</v>
      </c>
      <c r="D1205" s="3" t="s">
        <v>5587</v>
      </c>
      <c r="E1205" s="3" t="s">
        <v>2969</v>
      </c>
      <c r="F1205" s="3" t="s">
        <v>47</v>
      </c>
      <c r="G1205" s="3" t="s">
        <v>5588</v>
      </c>
      <c r="H1205" s="3" t="s">
        <v>47</v>
      </c>
      <c r="I1205" t="str">
        <f t="shared" si="36"/>
        <v>VERIFICAR</v>
      </c>
      <c r="J1205">
        <f t="shared" si="37"/>
        <v>3380.5</v>
      </c>
    </row>
    <row r="1206" spans="1:10" ht="15" customHeight="1" x14ac:dyDescent="0.2">
      <c r="A1206" s="4" t="s">
        <v>5589</v>
      </c>
      <c r="B1206" s="4" t="s">
        <v>5590</v>
      </c>
      <c r="C1206" s="4" t="s">
        <v>47</v>
      </c>
      <c r="D1206" s="4" t="s">
        <v>47</v>
      </c>
      <c r="E1206" s="4" t="s">
        <v>5591</v>
      </c>
      <c r="F1206" s="4" t="s">
        <v>5592</v>
      </c>
      <c r="G1206" s="4" t="s">
        <v>5593</v>
      </c>
      <c r="H1206" s="4" t="s">
        <v>47</v>
      </c>
      <c r="I1206" t="str">
        <f t="shared" si="36"/>
        <v>VERIFICAR</v>
      </c>
      <c r="J1206">
        <f t="shared" si="37"/>
        <v>69348.47</v>
      </c>
    </row>
    <row r="1207" spans="1:10" ht="15" customHeight="1" x14ac:dyDescent="0.2">
      <c r="A1207" s="3" t="s">
        <v>5594</v>
      </c>
      <c r="B1207" s="3" t="s">
        <v>5590</v>
      </c>
      <c r="C1207" s="3" t="s">
        <v>47</v>
      </c>
      <c r="D1207" s="3" t="s">
        <v>47</v>
      </c>
      <c r="E1207" s="3" t="s">
        <v>5591</v>
      </c>
      <c r="F1207" s="3" t="s">
        <v>5592</v>
      </c>
      <c r="G1207" s="3" t="s">
        <v>5593</v>
      </c>
      <c r="H1207" s="3" t="s">
        <v>47</v>
      </c>
      <c r="I1207" t="str">
        <f t="shared" si="36"/>
        <v>VERIFICAR</v>
      </c>
      <c r="J1207">
        <f t="shared" si="37"/>
        <v>69348.47</v>
      </c>
    </row>
    <row r="1208" spans="1:10" ht="15" customHeight="1" x14ac:dyDescent="0.2">
      <c r="A1208" s="4" t="s">
        <v>5595</v>
      </c>
      <c r="B1208" s="4" t="s">
        <v>5596</v>
      </c>
      <c r="C1208" s="4" t="s">
        <v>47</v>
      </c>
      <c r="D1208" s="4" t="s">
        <v>47</v>
      </c>
      <c r="E1208" s="4" t="s">
        <v>5591</v>
      </c>
      <c r="F1208" s="4" t="s">
        <v>5592</v>
      </c>
      <c r="G1208" s="4" t="s">
        <v>5593</v>
      </c>
      <c r="H1208" s="4" t="s">
        <v>47</v>
      </c>
      <c r="I1208" t="str">
        <f t="shared" si="36"/>
        <v>VERIFICAR</v>
      </c>
      <c r="J1208">
        <f t="shared" si="37"/>
        <v>69348.47</v>
      </c>
    </row>
    <row r="1209" spans="1:10" ht="15" customHeight="1" x14ac:dyDescent="0.2">
      <c r="A1209" s="3" t="s">
        <v>5597</v>
      </c>
      <c r="B1209" s="3" t="s">
        <v>5598</v>
      </c>
      <c r="C1209" s="3" t="s">
        <v>47</v>
      </c>
      <c r="D1209" s="3" t="s">
        <v>47</v>
      </c>
      <c r="E1209" s="3" t="s">
        <v>5599</v>
      </c>
      <c r="F1209" s="3" t="s">
        <v>5600</v>
      </c>
      <c r="G1209" s="3" t="s">
        <v>47</v>
      </c>
      <c r="H1209" s="3" t="s">
        <v>5601</v>
      </c>
      <c r="I1209" t="str">
        <f t="shared" si="36"/>
        <v>VERIFICAR</v>
      </c>
      <c r="J1209">
        <f t="shared" si="37"/>
        <v>7430.8499999999985</v>
      </c>
    </row>
    <row r="1210" spans="1:10" ht="15" customHeight="1" x14ac:dyDescent="0.2">
      <c r="A1210" s="4" t="s">
        <v>5602</v>
      </c>
      <c r="B1210" s="4" t="s">
        <v>5603</v>
      </c>
      <c r="C1210" s="4" t="s">
        <v>5604</v>
      </c>
      <c r="D1210" s="4" t="s">
        <v>5605</v>
      </c>
      <c r="E1210" s="4" t="s">
        <v>5606</v>
      </c>
      <c r="F1210" s="4" t="s">
        <v>5607</v>
      </c>
      <c r="G1210" s="4" t="s">
        <v>47</v>
      </c>
      <c r="H1210" s="4" t="s">
        <v>5608</v>
      </c>
      <c r="I1210" t="str">
        <f t="shared" si="36"/>
        <v>VERIFICAR</v>
      </c>
      <c r="J1210">
        <f t="shared" si="37"/>
        <v>14625.089999999998</v>
      </c>
    </row>
    <row r="1211" spans="1:10" ht="15" customHeight="1" x14ac:dyDescent="0.2">
      <c r="A1211" s="3" t="s">
        <v>5609</v>
      </c>
      <c r="B1211" s="3" t="s">
        <v>5610</v>
      </c>
      <c r="C1211" s="3" t="s">
        <v>5611</v>
      </c>
      <c r="D1211" s="3" t="s">
        <v>5612</v>
      </c>
      <c r="E1211" s="3" t="s">
        <v>5613</v>
      </c>
      <c r="F1211" s="3" t="s">
        <v>5614</v>
      </c>
      <c r="G1211" s="3" t="s">
        <v>47</v>
      </c>
      <c r="H1211" s="3" t="s">
        <v>5615</v>
      </c>
      <c r="I1211" t="str">
        <f t="shared" si="36"/>
        <v>VERIFICAR</v>
      </c>
      <c r="J1211">
        <f t="shared" si="37"/>
        <v>-4771.2999999999993</v>
      </c>
    </row>
    <row r="1212" spans="1:10" ht="15" customHeight="1" x14ac:dyDescent="0.2">
      <c r="A1212" s="4" t="s">
        <v>5616</v>
      </c>
      <c r="B1212" s="4" t="s">
        <v>5617</v>
      </c>
      <c r="C1212" s="4" t="s">
        <v>5618</v>
      </c>
      <c r="D1212" s="4" t="s">
        <v>5619</v>
      </c>
      <c r="E1212" s="4" t="s">
        <v>47</v>
      </c>
      <c r="F1212" s="4" t="s">
        <v>5620</v>
      </c>
      <c r="G1212" s="4" t="s">
        <v>47</v>
      </c>
      <c r="H1212" s="4" t="s">
        <v>5621</v>
      </c>
      <c r="I1212" t="str">
        <f t="shared" si="36"/>
        <v>VERIFICAR</v>
      </c>
      <c r="J1212">
        <f t="shared" si="37"/>
        <v>-2422.94</v>
      </c>
    </row>
    <row r="1213" spans="1:10" ht="15" customHeight="1" x14ac:dyDescent="0.2">
      <c r="A1213" s="3" t="s">
        <v>5622</v>
      </c>
      <c r="B1213" s="3" t="s">
        <v>5623</v>
      </c>
      <c r="C1213" s="3" t="s">
        <v>47</v>
      </c>
      <c r="D1213" s="3" t="s">
        <v>47</v>
      </c>
      <c r="E1213" s="3" t="s">
        <v>5624</v>
      </c>
      <c r="F1213" s="3" t="s">
        <v>5625</v>
      </c>
      <c r="G1213" s="3" t="s">
        <v>5626</v>
      </c>
      <c r="H1213" s="3" t="s">
        <v>47</v>
      </c>
      <c r="I1213" t="str">
        <f t="shared" si="36"/>
        <v>VERIFICAR</v>
      </c>
      <c r="J1213">
        <f t="shared" si="37"/>
        <v>30749.01</v>
      </c>
    </row>
    <row r="1214" spans="1:10" ht="15" customHeight="1" x14ac:dyDescent="0.2">
      <c r="A1214" s="4" t="s">
        <v>5627</v>
      </c>
      <c r="B1214" s="4" t="s">
        <v>5628</v>
      </c>
      <c r="C1214" s="4" t="s">
        <v>5629</v>
      </c>
      <c r="D1214" s="4" t="s">
        <v>5630</v>
      </c>
      <c r="E1214" s="4" t="s">
        <v>5631</v>
      </c>
      <c r="F1214" s="4" t="s">
        <v>5632</v>
      </c>
      <c r="G1214" s="4" t="s">
        <v>5633</v>
      </c>
      <c r="H1214" s="4" t="s">
        <v>47</v>
      </c>
      <c r="I1214" t="str">
        <f t="shared" si="36"/>
        <v>VERIFICAR</v>
      </c>
      <c r="J1214">
        <f t="shared" si="37"/>
        <v>20588.89</v>
      </c>
    </row>
    <row r="1215" spans="1:10" ht="15" customHeight="1" x14ac:dyDescent="0.2">
      <c r="A1215" s="3" t="s">
        <v>5634</v>
      </c>
      <c r="B1215" s="3" t="s">
        <v>5635</v>
      </c>
      <c r="C1215" s="3" t="s">
        <v>5636</v>
      </c>
      <c r="D1215" s="3" t="s">
        <v>5637</v>
      </c>
      <c r="E1215" s="3" t="s">
        <v>5638</v>
      </c>
      <c r="F1215" s="3" t="s">
        <v>5639</v>
      </c>
      <c r="G1215" s="3" t="s">
        <v>5640</v>
      </c>
      <c r="H1215" s="3" t="s">
        <v>47</v>
      </c>
      <c r="I1215" t="str">
        <f t="shared" si="36"/>
        <v>VERIFICAR</v>
      </c>
      <c r="J1215">
        <f t="shared" si="37"/>
        <v>1341.1599999999999</v>
      </c>
    </row>
    <row r="1216" spans="1:10" ht="15" customHeight="1" x14ac:dyDescent="0.2">
      <c r="A1216" s="4" t="s">
        <v>5641</v>
      </c>
      <c r="B1216" s="4" t="s">
        <v>5642</v>
      </c>
      <c r="C1216" s="4" t="s">
        <v>5643</v>
      </c>
      <c r="D1216" s="4" t="s">
        <v>5644</v>
      </c>
      <c r="E1216" s="4" t="s">
        <v>5645</v>
      </c>
      <c r="F1216" s="4" t="s">
        <v>47</v>
      </c>
      <c r="G1216" s="4" t="s">
        <v>5646</v>
      </c>
      <c r="H1216" s="4" t="s">
        <v>47</v>
      </c>
      <c r="I1216" t="str">
        <f t="shared" si="36"/>
        <v>VERIFICAR</v>
      </c>
      <c r="J1216">
        <f t="shared" si="37"/>
        <v>4048.71</v>
      </c>
    </row>
    <row r="1217" spans="1:10" ht="15" customHeight="1" x14ac:dyDescent="0.2">
      <c r="A1217" s="3" t="s">
        <v>5647</v>
      </c>
      <c r="B1217" s="3" t="s">
        <v>5648</v>
      </c>
      <c r="C1217" s="3" t="s">
        <v>5649</v>
      </c>
      <c r="D1217" s="3" t="s">
        <v>5650</v>
      </c>
      <c r="E1217" s="3" t="s">
        <v>5651</v>
      </c>
      <c r="F1217" s="3" t="s">
        <v>47</v>
      </c>
      <c r="G1217" s="3" t="s">
        <v>5652</v>
      </c>
      <c r="H1217" s="3" t="s">
        <v>47</v>
      </c>
      <c r="I1217" t="str">
        <f t="shared" si="36"/>
        <v>VERIFICAR</v>
      </c>
      <c r="J1217">
        <f t="shared" si="37"/>
        <v>2443.04</v>
      </c>
    </row>
    <row r="1218" spans="1:10" ht="15" customHeight="1" x14ac:dyDescent="0.2">
      <c r="A1218" s="4" t="s">
        <v>5653</v>
      </c>
      <c r="B1218" s="4" t="s">
        <v>5654</v>
      </c>
      <c r="C1218" s="4" t="s">
        <v>5655</v>
      </c>
      <c r="D1218" s="4" t="s">
        <v>5656</v>
      </c>
      <c r="E1218" s="4" t="s">
        <v>5657</v>
      </c>
      <c r="F1218" s="4" t="s">
        <v>47</v>
      </c>
      <c r="G1218" s="4" t="s">
        <v>5658</v>
      </c>
      <c r="H1218" s="4" t="s">
        <v>47</v>
      </c>
      <c r="I1218" t="str">
        <f t="shared" si="36"/>
        <v>VERIFICAR</v>
      </c>
      <c r="J1218">
        <f t="shared" si="37"/>
        <v>2327.21</v>
      </c>
    </row>
    <row r="1219" spans="1:10" ht="15" customHeight="1" x14ac:dyDescent="0.2">
      <c r="A1219" s="3" t="s">
        <v>5659</v>
      </c>
      <c r="B1219" s="3" t="s">
        <v>5660</v>
      </c>
      <c r="C1219" s="3" t="s">
        <v>47</v>
      </c>
      <c r="D1219" s="3" t="s">
        <v>47</v>
      </c>
      <c r="E1219" s="3" t="s">
        <v>5661</v>
      </c>
      <c r="F1219" s="3" t="s">
        <v>5662</v>
      </c>
      <c r="G1219" s="3" t="s">
        <v>47</v>
      </c>
      <c r="H1219" s="3" t="s">
        <v>5663</v>
      </c>
      <c r="I1219" t="str">
        <f t="shared" si="36"/>
        <v>VERIFICAR</v>
      </c>
      <c r="J1219">
        <f t="shared" si="37"/>
        <v>31168.609999999997</v>
      </c>
    </row>
    <row r="1220" spans="1:10" ht="15" customHeight="1" x14ac:dyDescent="0.2">
      <c r="A1220" s="4" t="s">
        <v>5664</v>
      </c>
      <c r="B1220" s="4" t="s">
        <v>5665</v>
      </c>
      <c r="C1220" s="4" t="s">
        <v>5666</v>
      </c>
      <c r="D1220" s="4" t="s">
        <v>5667</v>
      </c>
      <c r="E1220" s="4" t="s">
        <v>47</v>
      </c>
      <c r="F1220" s="4" t="s">
        <v>5662</v>
      </c>
      <c r="G1220" s="4" t="s">
        <v>47</v>
      </c>
      <c r="H1220" s="4" t="s">
        <v>5668</v>
      </c>
      <c r="I1220" t="str">
        <f t="shared" ref="I1220:I1240" si="38">IF(MID(A1220,1,1)="1",G1220-H1220,IF(MID(A1220,1,1)="2",H1220-G1220,"VERIFICAR"))</f>
        <v>VERIFICAR</v>
      </c>
      <c r="J1220">
        <f t="shared" ref="J1220:J1240" si="39">IF(MID(A1220,1,1)="1",H1220-I1220,IF(MID(B1220,1,1)="2",I1220-H1220,IF(MID(A1220,1,1)="3",F1220-E1220,IF(MID(A1220,1,1)="4",E1220-F1220,"VERIFICAR"))))</f>
        <v>-25619.52</v>
      </c>
    </row>
    <row r="1221" spans="1:10" ht="15" customHeight="1" x14ac:dyDescent="0.2">
      <c r="A1221" s="3" t="s">
        <v>5669</v>
      </c>
      <c r="B1221" s="3" t="s">
        <v>5670</v>
      </c>
      <c r="C1221" s="3" t="s">
        <v>5671</v>
      </c>
      <c r="D1221" s="3" t="s">
        <v>5672</v>
      </c>
      <c r="E1221" s="3" t="s">
        <v>5661</v>
      </c>
      <c r="F1221" s="3" t="s">
        <v>47</v>
      </c>
      <c r="G1221" s="3" t="s">
        <v>5673</v>
      </c>
      <c r="H1221" s="3" t="s">
        <v>47</v>
      </c>
      <c r="I1221" t="str">
        <f t="shared" si="38"/>
        <v>VERIFICAR</v>
      </c>
      <c r="J1221">
        <f t="shared" si="39"/>
        <v>56788.13</v>
      </c>
    </row>
    <row r="1222" spans="1:10" ht="15" customHeight="1" x14ac:dyDescent="0.2">
      <c r="A1222" s="4" t="s">
        <v>5674</v>
      </c>
      <c r="B1222" s="4" t="s">
        <v>5675</v>
      </c>
      <c r="C1222" s="4" t="s">
        <v>47</v>
      </c>
      <c r="D1222" s="4" t="s">
        <v>47</v>
      </c>
      <c r="E1222" s="4" t="s">
        <v>47</v>
      </c>
      <c r="F1222" s="4" t="s">
        <v>47</v>
      </c>
      <c r="G1222" s="4" t="s">
        <v>47</v>
      </c>
      <c r="H1222" s="4" t="s">
        <v>5676</v>
      </c>
      <c r="I1222" t="str">
        <f t="shared" si="38"/>
        <v>VERIFICAR</v>
      </c>
      <c r="J1222">
        <f t="shared" si="39"/>
        <v>0</v>
      </c>
    </row>
    <row r="1223" spans="1:10" ht="15" customHeight="1" x14ac:dyDescent="0.2">
      <c r="A1223" s="3" t="s">
        <v>5677</v>
      </c>
      <c r="B1223" s="3" t="s">
        <v>5675</v>
      </c>
      <c r="C1223" s="3" t="s">
        <v>47</v>
      </c>
      <c r="D1223" s="3" t="s">
        <v>47</v>
      </c>
      <c r="E1223" s="3" t="s">
        <v>47</v>
      </c>
      <c r="F1223" s="3" t="s">
        <v>47</v>
      </c>
      <c r="G1223" s="3" t="s">
        <v>47</v>
      </c>
      <c r="H1223" s="3" t="s">
        <v>5676</v>
      </c>
      <c r="I1223" t="str">
        <f t="shared" si="38"/>
        <v>VERIFICAR</v>
      </c>
      <c r="J1223">
        <f t="shared" si="39"/>
        <v>0</v>
      </c>
    </row>
    <row r="1224" spans="1:10" ht="15" customHeight="1" x14ac:dyDescent="0.2">
      <c r="A1224" s="4" t="s">
        <v>5678</v>
      </c>
      <c r="B1224" s="4" t="s">
        <v>5679</v>
      </c>
      <c r="C1224" s="4" t="s">
        <v>47</v>
      </c>
      <c r="D1224" s="4" t="s">
        <v>47</v>
      </c>
      <c r="E1224" s="4" t="s">
        <v>47</v>
      </c>
      <c r="F1224" s="4" t="s">
        <v>47</v>
      </c>
      <c r="G1224" s="4" t="s">
        <v>5680</v>
      </c>
      <c r="H1224" s="4" t="s">
        <v>47</v>
      </c>
      <c r="I1224" t="str">
        <f t="shared" si="38"/>
        <v>VERIFICAR</v>
      </c>
      <c r="J1224">
        <f t="shared" si="39"/>
        <v>0</v>
      </c>
    </row>
    <row r="1225" spans="1:10" ht="15" customHeight="1" x14ac:dyDescent="0.2">
      <c r="A1225" s="3" t="s">
        <v>5681</v>
      </c>
      <c r="B1225" s="3" t="s">
        <v>5679</v>
      </c>
      <c r="C1225" s="3" t="s">
        <v>47</v>
      </c>
      <c r="D1225" s="3" t="s">
        <v>47</v>
      </c>
      <c r="E1225" s="3" t="s">
        <v>47</v>
      </c>
      <c r="F1225" s="3" t="s">
        <v>47</v>
      </c>
      <c r="G1225" s="3" t="s">
        <v>5680</v>
      </c>
      <c r="H1225" s="3" t="s">
        <v>47</v>
      </c>
      <c r="I1225" t="str">
        <f t="shared" si="38"/>
        <v>VERIFICAR</v>
      </c>
      <c r="J1225">
        <f t="shared" si="39"/>
        <v>0</v>
      </c>
    </row>
    <row r="1226" spans="1:10" ht="15" customHeight="1" x14ac:dyDescent="0.2">
      <c r="A1226" s="4" t="s">
        <v>5682</v>
      </c>
      <c r="B1226" s="4" t="s">
        <v>5683</v>
      </c>
      <c r="C1226" s="4" t="s">
        <v>5684</v>
      </c>
      <c r="D1226" s="4" t="s">
        <v>5685</v>
      </c>
      <c r="E1226" s="4" t="s">
        <v>47</v>
      </c>
      <c r="F1226" s="4" t="s">
        <v>47</v>
      </c>
      <c r="G1226" s="4" t="s">
        <v>47</v>
      </c>
      <c r="H1226" s="4" t="s">
        <v>5686</v>
      </c>
      <c r="I1226" t="str">
        <f t="shared" si="38"/>
        <v>VERIFICAR</v>
      </c>
      <c r="J1226">
        <f t="shared" si="39"/>
        <v>0</v>
      </c>
    </row>
    <row r="1227" spans="1:10" ht="15" customHeight="1" x14ac:dyDescent="0.2">
      <c r="A1227" s="3" t="s">
        <v>5687</v>
      </c>
      <c r="B1227" s="3" t="s">
        <v>5688</v>
      </c>
      <c r="C1227" s="3" t="s">
        <v>5689</v>
      </c>
      <c r="D1227" s="3" t="s">
        <v>5690</v>
      </c>
      <c r="E1227" s="3" t="s">
        <v>47</v>
      </c>
      <c r="F1227" s="3" t="s">
        <v>47</v>
      </c>
      <c r="G1227" s="3" t="s">
        <v>5691</v>
      </c>
      <c r="H1227" s="3" t="s">
        <v>47</v>
      </c>
      <c r="I1227" t="str">
        <f t="shared" si="38"/>
        <v>VERIFICAR</v>
      </c>
      <c r="J1227">
        <f t="shared" si="39"/>
        <v>0</v>
      </c>
    </row>
    <row r="1228" spans="1:10" ht="15" customHeight="1" x14ac:dyDescent="0.2">
      <c r="A1228" s="4" t="s">
        <v>5692</v>
      </c>
      <c r="B1228" s="4" t="s">
        <v>5693</v>
      </c>
      <c r="C1228" s="4" t="s">
        <v>47</v>
      </c>
      <c r="D1228" s="4" t="s">
        <v>47</v>
      </c>
      <c r="E1228" s="4" t="s">
        <v>47</v>
      </c>
      <c r="F1228" s="4" t="s">
        <v>47</v>
      </c>
      <c r="G1228" s="4" t="s">
        <v>47</v>
      </c>
      <c r="H1228" s="4" t="s">
        <v>5694</v>
      </c>
      <c r="I1228" t="str">
        <f t="shared" si="38"/>
        <v>VERIFICAR</v>
      </c>
      <c r="J1228">
        <f t="shared" si="39"/>
        <v>0</v>
      </c>
    </row>
    <row r="1229" spans="1:10" ht="15" customHeight="1" x14ac:dyDescent="0.2">
      <c r="A1229" s="3" t="s">
        <v>5695</v>
      </c>
      <c r="B1229" s="3" t="s">
        <v>5696</v>
      </c>
      <c r="C1229" s="3" t="s">
        <v>47</v>
      </c>
      <c r="D1229" s="3" t="s">
        <v>47</v>
      </c>
      <c r="E1229" s="3" t="s">
        <v>47</v>
      </c>
      <c r="F1229" s="3" t="s">
        <v>47</v>
      </c>
      <c r="G1229" s="3" t="s">
        <v>47</v>
      </c>
      <c r="H1229" s="3" t="s">
        <v>5697</v>
      </c>
      <c r="I1229" t="str">
        <f t="shared" si="38"/>
        <v>VERIFICAR</v>
      </c>
      <c r="J1229">
        <f t="shared" si="39"/>
        <v>0</v>
      </c>
    </row>
    <row r="1230" spans="1:10" ht="15" customHeight="1" x14ac:dyDescent="0.2">
      <c r="A1230" s="4" t="s">
        <v>5698</v>
      </c>
      <c r="B1230" s="4" t="s">
        <v>5696</v>
      </c>
      <c r="C1230" s="4" t="s">
        <v>5699</v>
      </c>
      <c r="D1230" s="4" t="s">
        <v>5700</v>
      </c>
      <c r="E1230" s="4" t="s">
        <v>47</v>
      </c>
      <c r="F1230" s="4" t="s">
        <v>47</v>
      </c>
      <c r="G1230" s="4" t="s">
        <v>47</v>
      </c>
      <c r="H1230" s="4" t="s">
        <v>5697</v>
      </c>
      <c r="I1230" t="str">
        <f t="shared" si="38"/>
        <v>VERIFICAR</v>
      </c>
      <c r="J1230">
        <f t="shared" si="39"/>
        <v>0</v>
      </c>
    </row>
    <row r="1231" spans="1:10" ht="15" customHeight="1" x14ac:dyDescent="0.2">
      <c r="A1231" s="3" t="s">
        <v>5701</v>
      </c>
      <c r="B1231" s="3" t="s">
        <v>5702</v>
      </c>
      <c r="C1231" s="3" t="s">
        <v>47</v>
      </c>
      <c r="D1231" s="3" t="s">
        <v>47</v>
      </c>
      <c r="E1231" s="3" t="s">
        <v>47</v>
      </c>
      <c r="F1231" s="3" t="s">
        <v>47</v>
      </c>
      <c r="G1231" s="3" t="s">
        <v>478</v>
      </c>
      <c r="H1231" s="3" t="s">
        <v>47</v>
      </c>
      <c r="I1231" t="str">
        <f t="shared" si="38"/>
        <v>VERIFICAR</v>
      </c>
      <c r="J1231">
        <f t="shared" si="39"/>
        <v>0</v>
      </c>
    </row>
    <row r="1232" spans="1:10" ht="15" customHeight="1" x14ac:dyDescent="0.2">
      <c r="A1232" s="4" t="s">
        <v>5703</v>
      </c>
      <c r="B1232" s="4" t="s">
        <v>5704</v>
      </c>
      <c r="C1232" s="4" t="s">
        <v>478</v>
      </c>
      <c r="D1232" s="4" t="s">
        <v>47</v>
      </c>
      <c r="E1232" s="4" t="s">
        <v>47</v>
      </c>
      <c r="F1232" s="4" t="s">
        <v>47</v>
      </c>
      <c r="G1232" s="4" t="s">
        <v>478</v>
      </c>
      <c r="H1232" s="4" t="s">
        <v>47</v>
      </c>
      <c r="I1232" t="str">
        <f t="shared" si="38"/>
        <v>VERIFICAR</v>
      </c>
      <c r="J1232">
        <f t="shared" si="39"/>
        <v>0</v>
      </c>
    </row>
    <row r="1233" spans="1:10" ht="15" customHeight="1" x14ac:dyDescent="0.2">
      <c r="A1233" s="3" t="s">
        <v>5705</v>
      </c>
      <c r="B1233" s="3" t="s">
        <v>5706</v>
      </c>
      <c r="C1233" s="3" t="s">
        <v>47</v>
      </c>
      <c r="D1233" s="3" t="s">
        <v>47</v>
      </c>
      <c r="E1233" s="3" t="s">
        <v>4808</v>
      </c>
      <c r="F1233" s="3" t="s">
        <v>47</v>
      </c>
      <c r="G1233" s="3" t="s">
        <v>5707</v>
      </c>
      <c r="H1233" s="3" t="s">
        <v>47</v>
      </c>
      <c r="I1233" t="str">
        <f t="shared" si="38"/>
        <v>VERIFICAR</v>
      </c>
      <c r="J1233" t="str">
        <f t="shared" si="39"/>
        <v>VERIFICAR</v>
      </c>
    </row>
    <row r="1234" spans="1:10" ht="15" customHeight="1" x14ac:dyDescent="0.2">
      <c r="A1234" s="4" t="s">
        <v>5708</v>
      </c>
      <c r="B1234" s="4" t="s">
        <v>5706</v>
      </c>
      <c r="C1234" s="4" t="s">
        <v>47</v>
      </c>
      <c r="D1234" s="4" t="s">
        <v>47</v>
      </c>
      <c r="E1234" s="4" t="s">
        <v>4808</v>
      </c>
      <c r="F1234" s="4" t="s">
        <v>47</v>
      </c>
      <c r="G1234" s="4" t="s">
        <v>5707</v>
      </c>
      <c r="H1234" s="4" t="s">
        <v>47</v>
      </c>
      <c r="I1234" t="str">
        <f t="shared" si="38"/>
        <v>VERIFICAR</v>
      </c>
      <c r="J1234" t="str">
        <f t="shared" si="39"/>
        <v>VERIFICAR</v>
      </c>
    </row>
    <row r="1235" spans="1:10" ht="15" customHeight="1" x14ac:dyDescent="0.2">
      <c r="A1235" s="3" t="s">
        <v>5709</v>
      </c>
      <c r="B1235" s="3" t="s">
        <v>5706</v>
      </c>
      <c r="C1235" s="3" t="s">
        <v>47</v>
      </c>
      <c r="D1235" s="3" t="s">
        <v>47</v>
      </c>
      <c r="E1235" s="3" t="s">
        <v>4808</v>
      </c>
      <c r="F1235" s="3" t="s">
        <v>47</v>
      </c>
      <c r="G1235" s="3" t="s">
        <v>5707</v>
      </c>
      <c r="H1235" s="3" t="s">
        <v>47</v>
      </c>
      <c r="I1235" t="str">
        <f t="shared" si="38"/>
        <v>VERIFICAR</v>
      </c>
      <c r="J1235" t="str">
        <f t="shared" si="39"/>
        <v>VERIFICAR</v>
      </c>
    </row>
    <row r="1236" spans="1:10" ht="15" customHeight="1" x14ac:dyDescent="0.2">
      <c r="A1236" s="4" t="s">
        <v>5710</v>
      </c>
      <c r="B1236" s="4" t="s">
        <v>5711</v>
      </c>
      <c r="C1236" s="4" t="s">
        <v>47</v>
      </c>
      <c r="D1236" s="4" t="s">
        <v>47</v>
      </c>
      <c r="E1236" s="4" t="s">
        <v>4808</v>
      </c>
      <c r="F1236" s="4" t="s">
        <v>47</v>
      </c>
      <c r="G1236" s="4" t="s">
        <v>5707</v>
      </c>
      <c r="H1236" s="4" t="s">
        <v>47</v>
      </c>
      <c r="I1236" t="str">
        <f t="shared" si="38"/>
        <v>VERIFICAR</v>
      </c>
      <c r="J1236" t="str">
        <f t="shared" si="39"/>
        <v>VERIFICAR</v>
      </c>
    </row>
    <row r="1237" spans="1:10" ht="15" customHeight="1" x14ac:dyDescent="0.2">
      <c r="A1237" s="3" t="s">
        <v>5712</v>
      </c>
      <c r="B1237" s="3" t="s">
        <v>5713</v>
      </c>
      <c r="C1237" s="3" t="s">
        <v>47</v>
      </c>
      <c r="D1237" s="3" t="s">
        <v>47</v>
      </c>
      <c r="E1237" s="3" t="s">
        <v>4808</v>
      </c>
      <c r="F1237" s="3" t="s">
        <v>47</v>
      </c>
      <c r="G1237" s="3" t="s">
        <v>5707</v>
      </c>
      <c r="H1237" s="3" t="s">
        <v>47</v>
      </c>
      <c r="I1237" t="str">
        <f t="shared" si="38"/>
        <v>VERIFICAR</v>
      </c>
      <c r="J1237" t="str">
        <f t="shared" si="39"/>
        <v>VERIFICAR</v>
      </c>
    </row>
    <row r="1238" spans="1:10" ht="15" customHeight="1" x14ac:dyDescent="0.2">
      <c r="A1238" s="4" t="s">
        <v>5714</v>
      </c>
      <c r="B1238" s="4" t="s">
        <v>5715</v>
      </c>
      <c r="C1238" s="4" t="s">
        <v>5716</v>
      </c>
      <c r="D1238" s="4" t="s">
        <v>5717</v>
      </c>
      <c r="E1238" s="4" t="s">
        <v>4812</v>
      </c>
      <c r="F1238" s="4" t="s">
        <v>47</v>
      </c>
      <c r="G1238" s="4" t="s">
        <v>5718</v>
      </c>
      <c r="H1238" s="4" t="s">
        <v>47</v>
      </c>
      <c r="I1238" t="str">
        <f t="shared" si="38"/>
        <v>VERIFICAR</v>
      </c>
      <c r="J1238" t="str">
        <f t="shared" si="39"/>
        <v>VERIFICAR</v>
      </c>
    </row>
    <row r="1239" spans="1:10" ht="15" customHeight="1" x14ac:dyDescent="0.2">
      <c r="A1239" s="3" t="s">
        <v>5719</v>
      </c>
      <c r="B1239" s="3" t="s">
        <v>5720</v>
      </c>
      <c r="C1239" s="3" t="s">
        <v>5721</v>
      </c>
      <c r="D1239" s="3" t="s">
        <v>5722</v>
      </c>
      <c r="E1239" s="3" t="s">
        <v>4820</v>
      </c>
      <c r="F1239" s="3" t="s">
        <v>47</v>
      </c>
      <c r="G1239" s="3" t="s">
        <v>5723</v>
      </c>
      <c r="H1239" s="3" t="s">
        <v>47</v>
      </c>
      <c r="I1239" t="str">
        <f t="shared" si="38"/>
        <v>VERIFICAR</v>
      </c>
      <c r="J1239" t="str">
        <f t="shared" si="39"/>
        <v>VERIFICAR</v>
      </c>
    </row>
    <row r="1240" spans="1:10" ht="15" customHeight="1" x14ac:dyDescent="0.2">
      <c r="A1240" s="4" t="s">
        <v>5724</v>
      </c>
      <c r="B1240" s="4" t="s">
        <v>5725</v>
      </c>
      <c r="C1240" s="4" t="s">
        <v>5726</v>
      </c>
      <c r="D1240" s="4" t="s">
        <v>5727</v>
      </c>
      <c r="E1240" s="4" t="s">
        <v>47</v>
      </c>
      <c r="F1240" s="4" t="s">
        <v>47</v>
      </c>
      <c r="G1240" s="4" t="s">
        <v>5728</v>
      </c>
      <c r="H1240" s="4" t="s">
        <v>47</v>
      </c>
      <c r="I1240" t="str">
        <f t="shared" si="38"/>
        <v>VERIFICAR</v>
      </c>
      <c r="J1240" t="str">
        <f t="shared" si="39"/>
        <v>VERIFICAR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AEAD-0F85-42BF-9B57-4586C23A0453}">
  <dimension ref="A1:G3"/>
  <sheetViews>
    <sheetView workbookViewId="0">
      <selection sqref="A1:G1"/>
    </sheetView>
  </sheetViews>
  <sheetFormatPr defaultRowHeight="15" customHeight="1" x14ac:dyDescent="0.2"/>
  <cols>
    <col min="1" max="1" width="38" bestFit="1" customWidth="1"/>
    <col min="2" max="3" width="9.28515625" bestFit="1" customWidth="1"/>
    <col min="4" max="7" width="13.42578125" bestFit="1" customWidth="1"/>
  </cols>
  <sheetData>
    <row r="1" spans="1:7" ht="15" customHeight="1" thickBot="1" x14ac:dyDescent="0.25">
      <c r="A1" s="1" t="s">
        <v>5729</v>
      </c>
      <c r="B1" s="1"/>
      <c r="C1" s="1"/>
      <c r="D1" s="1"/>
      <c r="E1" s="1"/>
      <c r="F1" s="1"/>
      <c r="G1" s="1"/>
    </row>
    <row r="2" spans="1:7" ht="15" customHeight="1" thickTop="1" x14ac:dyDescent="0.2">
      <c r="A2" s="2" t="s">
        <v>5730</v>
      </c>
      <c r="B2" s="2" t="s">
        <v>5731</v>
      </c>
      <c r="C2" s="2" t="s">
        <v>5732</v>
      </c>
      <c r="D2" s="2" t="s">
        <v>5733</v>
      </c>
      <c r="E2" s="2" t="s">
        <v>5734</v>
      </c>
      <c r="F2" s="2" t="s">
        <v>5735</v>
      </c>
      <c r="G2" s="2" t="s">
        <v>5736</v>
      </c>
    </row>
    <row r="3" spans="1:7" ht="15" customHeight="1" x14ac:dyDescent="0.2">
      <c r="A3" s="3" t="s">
        <v>5737</v>
      </c>
      <c r="B3" s="3" t="s">
        <v>47</v>
      </c>
      <c r="C3" s="3" t="s">
        <v>47</v>
      </c>
      <c r="D3" s="3" t="s">
        <v>5738</v>
      </c>
      <c r="E3" s="3" t="s">
        <v>5738</v>
      </c>
      <c r="F3" s="3" t="s">
        <v>5739</v>
      </c>
      <c r="G3" s="3" t="s">
        <v>5739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1-Parametros</vt:lpstr>
      <vt:lpstr>2-Relatorio impresso somente </vt:lpstr>
      <vt:lpstr>3-Totalizadores</vt:lpstr>
      <vt:lpstr>TABELABP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Ryan Henrique</cp:lastModifiedBy>
  <dcterms:created xsi:type="dcterms:W3CDTF">2011-11-11T00:00:00Z</dcterms:created>
  <dcterms:modified xsi:type="dcterms:W3CDTF">2026-07-31T17:58:49Z</dcterms:modified>
</cp:coreProperties>
</file>