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U:\2026\Fechamentos\Apuração IRPJ\06\"/>
    </mc:Choice>
  </mc:AlternateContent>
  <xr:revisionPtr revIDLastSave="0" documentId="13_ncr:1_{7D2F5EF8-CC17-40DC-B5C5-D825B13E9867}" xr6:coauthVersionLast="47" xr6:coauthVersionMax="47" xr10:uidLastSave="{00000000-0000-0000-0000-000000000000}"/>
  <bookViews>
    <workbookView xWindow="-108" yWindow="-108" windowWidth="23256" windowHeight="12456" xr2:uid="{04907E20-D436-444B-90B6-80752085191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" i="1" l="1"/>
  <c r="Q15" i="1" l="1"/>
  <c r="P15" i="1"/>
  <c r="U14" i="1"/>
  <c r="W14" i="1" s="1"/>
  <c r="V14" i="1"/>
  <c r="K10" i="1" l="1"/>
  <c r="J10" i="1"/>
  <c r="K11" i="1" l="1"/>
  <c r="J11" i="1"/>
  <c r="K6" i="1" l="1"/>
  <c r="J6" i="1"/>
  <c r="J15" i="1"/>
  <c r="L15" i="1" s="1"/>
  <c r="K20" i="1" l="1"/>
  <c r="M20" i="1" s="1"/>
  <c r="J7" i="1" l="1"/>
  <c r="L20" i="1"/>
  <c r="K18" i="1" l="1"/>
  <c r="M18" i="1" s="1"/>
  <c r="K17" i="1"/>
  <c r="M17" i="1" s="1"/>
  <c r="J18" i="1"/>
  <c r="L18" i="1" s="1"/>
  <c r="J17" i="1"/>
  <c r="L17" i="1" s="1"/>
  <c r="L6" i="1" l="1"/>
  <c r="H21" i="1"/>
  <c r="J20" i="1"/>
  <c r="E21" i="1" l="1"/>
  <c r="V13" i="1"/>
  <c r="V12" i="1"/>
  <c r="V11" i="1"/>
  <c r="V10" i="1"/>
  <c r="V9" i="1"/>
  <c r="V8" i="1"/>
  <c r="V7" i="1"/>
  <c r="V6" i="1"/>
  <c r="V5" i="1"/>
  <c r="V4" i="1"/>
  <c r="V3" i="1"/>
  <c r="U10" i="1"/>
  <c r="W10" i="1" s="1"/>
  <c r="U9" i="1"/>
  <c r="W9" i="1" s="1"/>
  <c r="U8" i="1"/>
  <c r="W8" i="1" s="1"/>
  <c r="U7" i="1"/>
  <c r="W7" i="1" s="1"/>
  <c r="U3" i="1"/>
  <c r="W3" i="1" s="1"/>
  <c r="I21" i="1"/>
  <c r="K19" i="1"/>
  <c r="M19" i="1" s="1"/>
  <c r="J19" i="1"/>
  <c r="L19" i="1" s="1"/>
  <c r="K15" i="1"/>
  <c r="M15" i="1" s="1"/>
  <c r="K14" i="1"/>
  <c r="M14" i="1" s="1"/>
  <c r="K13" i="1"/>
  <c r="M13" i="1" s="1"/>
  <c r="K12" i="1"/>
  <c r="M12" i="1" s="1"/>
  <c r="M11" i="1"/>
  <c r="M10" i="1"/>
  <c r="K9" i="1"/>
  <c r="M9" i="1" s="1"/>
  <c r="K8" i="1"/>
  <c r="M8" i="1" s="1"/>
  <c r="K7" i="1"/>
  <c r="M7" i="1" s="1"/>
  <c r="J14" i="1"/>
  <c r="L14" i="1" s="1"/>
  <c r="J13" i="1"/>
  <c r="L13" i="1" s="1"/>
  <c r="J12" i="1"/>
  <c r="L12" i="1" s="1"/>
  <c r="L11" i="1"/>
  <c r="L10" i="1"/>
  <c r="J9" i="1"/>
  <c r="L9" i="1" s="1"/>
  <c r="J8" i="1"/>
  <c r="L7" i="1"/>
  <c r="L8" i="1" l="1"/>
  <c r="L21" i="1" s="1"/>
  <c r="J21" i="1"/>
  <c r="O23" i="1" s="1"/>
  <c r="K21" i="1"/>
  <c r="P22" i="1" s="1"/>
  <c r="U11" i="1"/>
  <c r="W11" i="1" s="1"/>
  <c r="U12" i="1"/>
  <c r="W12" i="1" s="1"/>
  <c r="U5" i="1"/>
  <c r="W5" i="1" s="1"/>
  <c r="U13" i="1"/>
  <c r="W13" i="1" s="1"/>
  <c r="U6" i="1"/>
  <c r="W6" i="1" s="1"/>
  <c r="V16" i="1"/>
  <c r="M6" i="1"/>
  <c r="M21" i="1" s="1"/>
  <c r="L24" i="1" l="1"/>
  <c r="L25" i="1" s="1"/>
  <c r="O22" i="1"/>
  <c r="O24" i="1" s="1"/>
  <c r="G21" i="1"/>
  <c r="F21" i="1"/>
  <c r="U4" i="1" l="1"/>
  <c r="U16" i="1" s="1"/>
  <c r="W4" i="1" l="1"/>
</calcChain>
</file>

<file path=xl/sharedStrings.xml><?xml version="1.0" encoding="utf-8"?>
<sst xmlns="http://schemas.openxmlformats.org/spreadsheetml/2006/main" count="86" uniqueCount="81">
  <si>
    <t>REGRA GERAL</t>
  </si>
  <si>
    <t>RECEITA BRUTA</t>
  </si>
  <si>
    <t>DESCONTOS INCONDICIONAIS</t>
  </si>
  <si>
    <t>NÃO CONSIDERA</t>
  </si>
  <si>
    <t>DEVOLUÇÃO</t>
  </si>
  <si>
    <t>IMPOSTOS NÃO CUMULATIVO</t>
  </si>
  <si>
    <t>CONSIDERA</t>
  </si>
  <si>
    <t>VENDA MERCADORIAS</t>
  </si>
  <si>
    <t>REVENDA MERCADORIAS</t>
  </si>
  <si>
    <t>SERVICOS</t>
  </si>
  <si>
    <t>LOCACÃO MAQUINA</t>
  </si>
  <si>
    <t>EXPORTACAO</t>
  </si>
  <si>
    <t>EXPORTACAO SERVICOS</t>
  </si>
  <si>
    <t>(-) IPI</t>
  </si>
  <si>
    <t>OUTRAS RECEITAS</t>
  </si>
  <si>
    <t>GANHO CAPITAL</t>
  </si>
  <si>
    <t>(-) ICMS ST</t>
  </si>
  <si>
    <t>R$</t>
  </si>
  <si>
    <t>% IRPJ</t>
  </si>
  <si>
    <t>% CSLL</t>
  </si>
  <si>
    <t>IRPJ</t>
  </si>
  <si>
    <t>CSLL</t>
  </si>
  <si>
    <t>R$ IRPJ</t>
  </si>
  <si>
    <t>R$ CSLL</t>
  </si>
  <si>
    <t>BASE IRPJ</t>
  </si>
  <si>
    <t>BASE CSLL</t>
  </si>
  <si>
    <t>A pessoa jurídica poderá suspender ou reduzir o pagamento do imposto devido em cada mês, desde que demonstre, através de balanços ou balancetes mensais, que o valor acumulado já pago excede o valor do imposto, inclusive adicional, calculado com base no lucro real do período em curso (Lei 8.981/1995, artigo 35). </t>
  </si>
  <si>
    <t>CONTROLE RECOLHIMENTO MENSAL</t>
  </si>
  <si>
    <t>Mês</t>
  </si>
  <si>
    <t>*CSLL</t>
  </si>
  <si>
    <t>*IRPJ</t>
  </si>
  <si>
    <t>RENDIMENTO APLICACOES</t>
  </si>
  <si>
    <t>REND APLIC (-) RESGATADOS</t>
  </si>
  <si>
    <t>DARF 2362</t>
  </si>
  <si>
    <t>DARF 2484</t>
  </si>
  <si>
    <t>IRPJ ESTIMATIVA MENSAL</t>
  </si>
  <si>
    <t>CSLL ESTIMATIVA MENSAL</t>
  </si>
  <si>
    <t>DARF 2430</t>
  </si>
  <si>
    <t>DARF 6773</t>
  </si>
  <si>
    <t>IRPJ AJUSTE ANUAL</t>
  </si>
  <si>
    <t>CSLL AJUSTE ANUAL</t>
  </si>
  <si>
    <t>31/01/X+1</t>
  </si>
  <si>
    <t>ULTIMO DIA MÊS SUBSEQUENTE</t>
  </si>
  <si>
    <t>* INCENTIVOS FISCAIS</t>
  </si>
  <si>
    <t>IRRF APLICAÇÕES COMPENSAÇÃO DEVIDO APENAS NO AJUSTE ANUAL</t>
  </si>
  <si>
    <t>VARIACAO CAMBIAL</t>
  </si>
  <si>
    <t>Atentar-se no momento de preenchimento das fichas da ECF, pois é lá que RFB vai "entender" a forma que a empresa fez o fechamento.</t>
  </si>
  <si>
    <t>Existem duas formas de apurar o mês de dezembro como vc citou acima,  e se vc já estiver com o balancete de dezembro já fechado, recolhe pelo Ajuste Anual e pronto.  -  o que seria o ideal</t>
  </si>
  <si>
    <t>Mas caso o mês de dezembro não esteja fechado até 31/01 recolhe-se com base na receita (estimativa) e depois quando estiver com balancete fechado, faz-se o fechamento e caso der diferença de imposto a recolher o mesmo deve ser recolhido até 31/03 acrescido de juros Selic.</t>
  </si>
  <si>
    <t>AJUSTE ANUAL</t>
  </si>
  <si>
    <t>O balanço ou balancete será considerado de “suspensão” do tributo quando demonstrar, com base na apuração do lucro real mensal, que durante o período acumulado o valor dos tributos pagos se iguala, ou então o valor já pago até este período é superior ao apurado.</t>
  </si>
  <si>
    <t>O balanço ou balancete será considerado de “redução” do tributo quando o valor do montante correspondente ao imposto devido apurado durante o período, por intermédio do cálculo de estimativa, for superior ao apurado a pagar pelo balanço ou balancete contábil, e suas adequações legais ao lucro real. Portanto, nestes casos, será facultado à pessoa jurídica o pagamento no menor valor do tributo, reduzindo os tributos a pagar, ou seja, paga-se o menos elevado.</t>
  </si>
  <si>
    <t>A demonstração do lucro real relativa ao período abrangido pelos balanços ou balancetes de redução ou suspensão deverá ser transcrita no Livro de Apuração do Lucro Real (LALUR), observando-se:</t>
  </si>
  <si>
    <t>- para o balanço ou balancete apurado mensalmente para os fins de suspensão ou redução do imposto de renda, o contribuinte deverá determinar um novo lucro real para o período em curso, desconsiderando aqueles apurados em meses anteriores do mesmo ano-calendário;</t>
  </si>
  <si>
    <t>- as adições, exclusões e compensações, computadas na apuração do lucro real, correspondentes aos balanços ou balancetes, deverão constar, discriminadamente, na Parte A do LALUR, para fins de elaboração da demonstração do lucro real do período em curso, não cabendo nenhum registro na Parte B do referido Livro.</t>
  </si>
  <si>
    <t>Conforme determina o artigo 858 do RIR/1999, todos os valores dos tributos apurados por meio de balanço ou balancete de redução serão recolhidos em seu prazo estipulado.</t>
  </si>
  <si>
    <t>O balanço e o balancete de suspensão ou redução devem ser previamente avaliados e bem confeccionados, além de aprovados pelo contador e o administrador da empresa, com fins específicos de nortear e avalizar as as informações que farão parte de seu acervo técnico-contábil de forma definitiva, que futuramente poderá ser questionado por agentes fiscais e afins, com o intuito de certificar sua idoneidade e qualidade técnica, como referência cabal para a base de cálculo no âmbito tributário.</t>
  </si>
  <si>
    <t>PATROCIONIOS (-)</t>
  </si>
  <si>
    <t>IRPJ APURADO REAL</t>
  </si>
  <si>
    <t>CSLL APURADO REAL</t>
  </si>
  <si>
    <t xml:space="preserve">IRPJ DIFERENÇA LIQUIDA </t>
  </si>
  <si>
    <t xml:space="preserve">CSLL DIFERENÇA LIQUIDA </t>
  </si>
  <si>
    <t>VENCIMENTO</t>
  </si>
  <si>
    <t> RIR/99 ART. 224</t>
  </si>
  <si>
    <t>PLANILHA</t>
  </si>
  <si>
    <t>SUSPENSAO/REDUCAO</t>
  </si>
  <si>
    <t>http://normas.receita.fazenda.gov.br/sijut2consulta/link.action?idAto=81268</t>
  </si>
  <si>
    <t>IN 1700/2017</t>
  </si>
  <si>
    <t>caso não tenha DARF a recolher em virtude de prejuizo ou o valor já recolhido seja maior que o devido,  DEVE marcar a opção que existe na parte dos dados iniciais  --&gt;  PJ levantou balanço/balancete de suspensão no mês.</t>
  </si>
  <si>
    <t>Caso tenha DARF a declarar :</t>
  </si>
  <si>
    <t xml:space="preserve"> esse item vai aparecer tanto para o código 5993-01 ( IRPJ ) e para o código 2484-01 ( CSLL )</t>
  </si>
  <si>
    <t>NAO DEVE marcar nos dados iniciais :  PJ levantou balanço/balancete de suspensão no mês.</t>
  </si>
  <si>
    <t>marcar na própria ficha do débito o item : balanço de redução</t>
  </si>
  <si>
    <t>JUROS</t>
  </si>
  <si>
    <t>DESCONTOS OBTIDOS</t>
  </si>
  <si>
    <t>ADICIONAL</t>
  </si>
  <si>
    <t>IRPJ TOTAL</t>
  </si>
  <si>
    <t>EFETIVA</t>
  </si>
  <si>
    <t>PREJUIZO FISCAL = R$ 82.541,66</t>
  </si>
  <si>
    <t>NF 27632 - VENDA IMOBILIZADO</t>
  </si>
  <si>
    <t>TESTE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</si>
</sst>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/>
        <bgColor theme="1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34">
    <xf numFmtId="0" fontId="0" fillId="0" borderId="0" xfId="0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" fillId="3" borderId="0" xfId="0" applyFont="1" applyFill="1" applyAlignment="1">
      <alignment horizontal="center"/>
    </xf>
    <xf numFmtId="9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44" fontId="0" fillId="0" borderId="0" xfId="1" applyFont="1" applyAlignment="1">
      <alignment horizontal="center"/>
    </xf>
    <xf numFmtId="44" fontId="0" fillId="0" borderId="0" xfId="1" applyFont="1"/>
    <xf numFmtId="0" fontId="0" fillId="0" borderId="0" xfId="0" applyAlignment="1">
      <alignment horizontal="center" wrapText="1"/>
    </xf>
    <xf numFmtId="44" fontId="0" fillId="0" borderId="0" xfId="0" applyNumberFormat="1"/>
    <xf numFmtId="11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right"/>
    </xf>
    <xf numFmtId="17" fontId="0" fillId="0" borderId="0" xfId="0" applyNumberFormat="1" applyAlignment="1">
      <alignment horizontal="center"/>
    </xf>
    <xf numFmtId="44" fontId="2" fillId="3" borderId="0" xfId="1" applyFont="1" applyFill="1"/>
    <xf numFmtId="0" fontId="3" fillId="4" borderId="2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3" fillId="4" borderId="1" xfId="0" applyFont="1" applyFill="1" applyBorder="1" applyAlignment="1">
      <alignment horizontal="center"/>
    </xf>
    <xf numFmtId="14" fontId="0" fillId="0" borderId="0" xfId="0" applyNumberFormat="1" applyAlignment="1">
      <alignment horizontal="center"/>
    </xf>
    <xf numFmtId="0" fontId="5" fillId="0" borderId="0" xfId="0" applyFont="1"/>
    <xf numFmtId="10" fontId="0" fillId="0" borderId="0" xfId="2" applyNumberFormat="1" applyFont="1" applyAlignment="1">
      <alignment horizontal="center"/>
    </xf>
    <xf numFmtId="44" fontId="0" fillId="0" borderId="0" xfId="1" applyFont="1" applyFill="1"/>
    <xf numFmtId="44" fontId="0" fillId="0" borderId="0" xfId="1" applyFont="1" applyFill="1" applyAlignment="1">
      <alignment horizontal="center"/>
    </xf>
    <xf numFmtId="0" fontId="0" fillId="5" borderId="0" xfId="0" applyFill="1"/>
    <xf numFmtId="0" fontId="6" fillId="5" borderId="0" xfId="3" applyFill="1"/>
    <xf numFmtId="44" fontId="0" fillId="5" borderId="0" xfId="0" applyNumberFormat="1" applyFill="1"/>
    <xf numFmtId="0" fontId="0" fillId="5" borderId="0" xfId="0" applyFill="1" applyAlignment="1">
      <alignment horizontal="center"/>
    </xf>
    <xf numFmtId="44" fontId="0" fillId="0" borderId="0" xfId="0" applyNumberFormat="1" applyAlignment="1">
      <alignment horizontal="left"/>
    </xf>
    <xf numFmtId="44" fontId="0" fillId="0" borderId="3" xfId="0" applyNumberFormat="1" applyBorder="1"/>
    <xf numFmtId="44" fontId="0" fillId="0" borderId="0" xfId="1" applyFont="1" applyFill="1" applyAlignment="1">
      <alignment vertical="center"/>
    </xf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 wrapText="1"/>
    </xf>
    <xf numFmtId="0" fontId="0" fillId="0" borderId="0" xfId="0" applyAlignment="1">
      <alignment horizontal="center"/>
    </xf>
    <xf numFmtId="44" fontId="0" fillId="6" borderId="0" xfId="1" applyFont="1" applyFill="1" applyAlignment="1">
      <alignment horizontal="center"/>
    </xf>
  </cellXfs>
  <cellStyles count="4">
    <cellStyle name="Hiperlink" xfId="3" builtinId="8"/>
    <cellStyle name="Moeda" xfId="1" builtinId="4"/>
    <cellStyle name="Normal" xfId="0" builtinId="0"/>
    <cellStyle name="Porcentagem" xfId="2" builtinId="5"/>
  </cellStyles>
  <dxfs count="9"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</dxf>
    <dxf>
      <numFmt numFmtId="22" formatCode="mmm/yy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C1E13E-8A90-45E5-A576-AE3DB93C1811}" name="Tabela1" displayName="Tabela1" ref="O2:W15" totalsRowShown="0" headerRowDxfId="6">
  <tableColumns count="9">
    <tableColumn id="1" xr3:uid="{198FA320-9C88-43DD-96C4-3F5DDD2DBDE5}" name="Mês" dataDxfId="5"/>
    <tableColumn id="2" xr3:uid="{6960F84E-F118-408F-978D-1F008A279711}" name="IRPJ" dataDxfId="4" dataCellStyle="Moeda"/>
    <tableColumn id="3" xr3:uid="{2A857776-D27A-444F-A2A5-B130DBB2CC97}" name="CSLL" dataCellStyle="Moeda"/>
    <tableColumn id="4" xr3:uid="{FCFE995E-630C-47CF-A9E5-F1BB5FD69C67}" name="IRPJ APURADO REAL" dataCellStyle="Moeda"/>
    <tableColumn id="5" xr3:uid="{4EDF9CD1-D17E-4214-980A-ECD9AD4173F6}" name="CSLL APURADO REAL" dataCellStyle="Moeda"/>
    <tableColumn id="6" xr3:uid="{2CAEC2D8-E0A8-467E-A14F-8BBA3D48002D}" name="VENCIMENTO" dataDxfId="3"/>
    <tableColumn id="7" xr3:uid="{DE6BD60C-3DF4-49A7-A70C-5DF81000B7D4}" name="IRPJ DIFERENÇA LIQUIDA " dataDxfId="2" dataCellStyle="Moeda">
      <calculatedColumnFormula>Tabela1[[#This Row],[IRPJ APURADO REAL]]-Tabela1[[#This Row],[IRPJ]]</calculatedColumnFormula>
    </tableColumn>
    <tableColumn id="8" xr3:uid="{70D0B187-40D8-429D-9508-074E6C2B4FF3}" name="CSLL DIFERENÇA LIQUIDA " dataDxfId="1" dataCellStyle="Moeda">
      <calculatedColumnFormula>Tabela1[[#This Row],[CSLL APURADO REAL]]-Tabela1[[#This Row],[CSLL]]</calculatedColumnFormula>
    </tableColumn>
    <tableColumn id="9" xr3:uid="{FE7C9B1A-41B1-45EA-855B-8C75AAEE9320}" name="SUSPENSAO/REDUCAO" dataDxfId="0">
      <calculatedColumnFormula>IF(Tabela1[[#This Row],[IRPJ DIFERENÇA LIQUIDA ]]&lt;0,"SIM","NÃO")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normas.receita.fazenda.gov.br/sijut2consulta/link.action?idAto=8126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2F06F-0054-4695-9B45-9B574F3287DF}">
  <dimension ref="A1:Z44"/>
  <sheetViews>
    <sheetView tabSelected="1" topLeftCell="B1" workbookViewId="0">
      <selection activeCell="Q20" sqref="B7:Q20"/>
    </sheetView>
  </sheetViews>
  <sheetFormatPr defaultRowHeight="14.4" x14ac:dyDescent="0.3"/>
  <cols>
    <col min="1" max="1" width="28" bestFit="1" customWidth="1"/>
    <col min="2" max="2" width="9.109375" style="2"/>
    <col min="3" max="3" width="12" bestFit="1" customWidth="1"/>
    <col min="4" max="4" width="26.5546875" bestFit="1" customWidth="1"/>
    <col min="5" max="5" width="29.109375" bestFit="1" customWidth="1"/>
    <col min="6" max="7" width="9.109375" style="2"/>
    <col min="8" max="8" width="15.88671875" style="2" bestFit="1" customWidth="1"/>
    <col min="9" max="9" width="13.33203125" style="2" bestFit="1" customWidth="1"/>
    <col min="10" max="11" width="15.88671875" bestFit="1" customWidth="1"/>
    <col min="12" max="12" width="14.33203125" bestFit="1" customWidth="1"/>
    <col min="13" max="13" width="15.88671875" bestFit="1" customWidth="1"/>
    <col min="14" max="14" width="3.33203125" customWidth="1"/>
    <col min="15" max="15" width="14" bestFit="1" customWidth="1"/>
    <col min="16" max="16" width="15.88671875" bestFit="1" customWidth="1"/>
    <col min="17" max="17" width="15.5546875" bestFit="1" customWidth="1"/>
    <col min="18" max="18" width="19" bestFit="1" customWidth="1"/>
    <col min="19" max="19" width="19.33203125" bestFit="1" customWidth="1"/>
    <col min="20" max="20" width="13.33203125" bestFit="1" customWidth="1"/>
    <col min="21" max="21" width="20.5546875" bestFit="1" customWidth="1"/>
    <col min="22" max="22" width="21.109375" bestFit="1" customWidth="1"/>
    <col min="23" max="23" width="24.44140625" customWidth="1"/>
  </cols>
  <sheetData>
    <row r="1" spans="1:26" ht="15" customHeight="1" x14ac:dyDescent="0.3">
      <c r="A1" s="3" t="s">
        <v>0</v>
      </c>
      <c r="C1" s="31" t="s">
        <v>26</v>
      </c>
      <c r="D1" s="31"/>
      <c r="E1" s="31"/>
      <c r="F1" s="31"/>
      <c r="G1" s="31"/>
      <c r="H1" s="31"/>
      <c r="I1" s="31"/>
      <c r="J1" s="31"/>
      <c r="K1" s="31"/>
      <c r="L1" s="31"/>
      <c r="M1" s="31"/>
      <c r="O1" s="32" t="s">
        <v>27</v>
      </c>
      <c r="P1" s="32"/>
      <c r="Q1" s="32"/>
      <c r="R1" s="32"/>
      <c r="S1" s="32"/>
    </row>
    <row r="2" spans="1:26" x14ac:dyDescent="0.3">
      <c r="A2" s="1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O2" s="16" t="s">
        <v>28</v>
      </c>
      <c r="P2" s="16" t="s">
        <v>20</v>
      </c>
      <c r="Q2" s="16" t="s">
        <v>21</v>
      </c>
      <c r="R2" s="16" t="s">
        <v>58</v>
      </c>
      <c r="S2" s="16" t="s">
        <v>59</v>
      </c>
      <c r="T2" s="17" t="s">
        <v>62</v>
      </c>
      <c r="U2" s="15" t="s">
        <v>60</v>
      </c>
      <c r="V2" s="15" t="s">
        <v>61</v>
      </c>
      <c r="W2" s="16" t="s">
        <v>65</v>
      </c>
    </row>
    <row r="3" spans="1:26" x14ac:dyDescent="0.3">
      <c r="A3" s="11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O3" s="13">
        <v>44562</v>
      </c>
      <c r="P3" s="7">
        <v>284493.64</v>
      </c>
      <c r="Q3" s="7">
        <v>141464.78</v>
      </c>
      <c r="R3" s="7">
        <v>320335.65499999968</v>
      </c>
      <c r="S3" s="7">
        <v>116040.83579999988</v>
      </c>
      <c r="T3" s="18"/>
      <c r="U3" s="7">
        <f>Tabela1[[#This Row],[IRPJ APURADO REAL]]-Tabela1[[#This Row],[IRPJ]]</f>
        <v>35842.014999999665</v>
      </c>
      <c r="V3" s="7">
        <f>Tabela1[[#This Row],[CSLL APURADO REAL]]-Tabela1[[#This Row],[CSLL]]</f>
        <v>-25423.944200000115</v>
      </c>
      <c r="W3" t="str">
        <f>IF(Tabela1[[#This Row],[IRPJ APURADO REAL]]="","LANÇAR LUCRO REAL",IF(Tabela1[[#This Row],[IRPJ DIFERENÇA LIQUIDA ]]&lt;0,"SIM","NÃO"))</f>
        <v>NÃO</v>
      </c>
      <c r="Z3" t="s">
        <v>68</v>
      </c>
    </row>
    <row r="4" spans="1:26" x14ac:dyDescent="0.3">
      <c r="A4" s="3" t="s">
        <v>1</v>
      </c>
      <c r="H4" s="2">
        <v>31120100006</v>
      </c>
      <c r="I4" s="2">
        <v>31120100007</v>
      </c>
      <c r="O4" s="13">
        <v>44593</v>
      </c>
      <c r="P4" s="21">
        <v>279643.17</v>
      </c>
      <c r="Q4" s="7">
        <v>133201.26999999999</v>
      </c>
      <c r="R4" s="7">
        <v>37852.287499999518</v>
      </c>
      <c r="S4" s="7">
        <v>14346.823499999826</v>
      </c>
      <c r="T4" s="18"/>
      <c r="U4" s="7">
        <f>Tabela1[[#This Row],[IRPJ APURADO REAL]]-Tabela1[[#This Row],[IRPJ]]</f>
        <v>-241790.88250000047</v>
      </c>
      <c r="V4" s="7">
        <f>Tabela1[[#This Row],[CSLL APURADO REAL]]-Tabela1[[#This Row],[CSLL]]</f>
        <v>-118854.44650000017</v>
      </c>
      <c r="W4" t="str">
        <f>IF(Tabela1[[#This Row],[IRPJ APURADO REAL]]="","LANÇAR LUCRO REAL",IF(Tabela1[[#This Row],[IRPJ DIFERENÇA LIQUIDA ]]&lt;0,"SIM","NÃO"))</f>
        <v>SIM</v>
      </c>
    </row>
    <row r="5" spans="1:26" x14ac:dyDescent="0.3">
      <c r="A5" s="1" t="s">
        <v>3</v>
      </c>
      <c r="C5" s="30" t="s">
        <v>6</v>
      </c>
      <c r="D5" s="30"/>
      <c r="E5" s="1" t="s">
        <v>17</v>
      </c>
      <c r="F5" s="3" t="s">
        <v>18</v>
      </c>
      <c r="G5" s="3" t="s">
        <v>19</v>
      </c>
      <c r="H5" s="3" t="s">
        <v>13</v>
      </c>
      <c r="I5" s="3" t="s">
        <v>16</v>
      </c>
      <c r="J5" s="3" t="s">
        <v>24</v>
      </c>
      <c r="K5" s="3" t="s">
        <v>25</v>
      </c>
      <c r="L5" s="3" t="s">
        <v>22</v>
      </c>
      <c r="M5" s="3" t="s">
        <v>23</v>
      </c>
      <c r="O5" s="13">
        <v>44621</v>
      </c>
      <c r="P5" s="21">
        <v>67871.95</v>
      </c>
      <c r="Q5" s="7">
        <v>0</v>
      </c>
      <c r="R5" s="7">
        <v>183814.3224999994</v>
      </c>
      <c r="S5" s="7">
        <v>66893.156099999775</v>
      </c>
      <c r="T5" s="18"/>
      <c r="U5" s="7">
        <f>Tabela1[[#This Row],[IRPJ APURADO REAL]]-Tabela1[[#This Row],[IRPJ]]</f>
        <v>115942.3724999994</v>
      </c>
      <c r="V5" s="7">
        <f>Tabela1[[#This Row],[CSLL APURADO REAL]]-Tabela1[[#This Row],[CSLL]]</f>
        <v>66893.156099999775</v>
      </c>
      <c r="W5" t="str">
        <f>IF(Tabela1[[#This Row],[IRPJ APURADO REAL]]="","LANÇAR LUCRO REAL",IF(Tabela1[[#This Row],[IRPJ DIFERENÇA LIQUIDA ]]&lt;0,"SIM","NÃO"))</f>
        <v>NÃO</v>
      </c>
      <c r="Z5" t="s">
        <v>69</v>
      </c>
    </row>
    <row r="6" spans="1:26" x14ac:dyDescent="0.3">
      <c r="A6" t="s">
        <v>2</v>
      </c>
      <c r="C6" s="5">
        <v>31110100001</v>
      </c>
      <c r="D6" t="s">
        <v>7</v>
      </c>
      <c r="E6" s="29">
        <f>11581833.03-1249886.67+4837.71</f>
        <v>10336784.07</v>
      </c>
      <c r="F6" s="4">
        <v>0.08</v>
      </c>
      <c r="G6" s="4">
        <v>0.12</v>
      </c>
      <c r="H6" s="6">
        <v>61984.42</v>
      </c>
      <c r="I6" s="6">
        <v>11321.18</v>
      </c>
      <c r="J6" s="21">
        <f>(E6-H6-I6)*F6</f>
        <v>821078.27760000003</v>
      </c>
      <c r="K6" s="7">
        <f>(E6-H6-I6)*G6</f>
        <v>1231617.4164</v>
      </c>
      <c r="L6" s="7">
        <f>J6*0.15</f>
        <v>123161.74163999999</v>
      </c>
      <c r="M6" s="7">
        <f>K6*0.09</f>
        <v>110845.567476</v>
      </c>
      <c r="O6" s="13">
        <v>44652</v>
      </c>
      <c r="P6" s="21">
        <v>335978.38</v>
      </c>
      <c r="Q6" s="7">
        <v>169563.43</v>
      </c>
      <c r="R6" s="7">
        <v>392130.81249999942</v>
      </c>
      <c r="S6" s="7">
        <v>141887.0924999998</v>
      </c>
      <c r="T6" s="18"/>
      <c r="U6" s="7">
        <f>Tabela1[[#This Row],[IRPJ APURADO REAL]]-Tabela1[[#This Row],[IRPJ]]</f>
        <v>56152.432499999413</v>
      </c>
      <c r="V6" s="7">
        <f>Tabela1[[#This Row],[CSLL APURADO REAL]]-Tabela1[[#This Row],[CSLL]]</f>
        <v>-27676.337500000198</v>
      </c>
      <c r="W6" t="str">
        <f>IF(Tabela1[[#This Row],[IRPJ APURADO REAL]]="","LANÇAR LUCRO REAL",IF(Tabela1[[#This Row],[IRPJ DIFERENÇA LIQUIDA ]]&lt;0,"SIM","NÃO"))</f>
        <v>NÃO</v>
      </c>
      <c r="Z6" t="s">
        <v>71</v>
      </c>
    </row>
    <row r="7" spans="1:26" x14ac:dyDescent="0.3">
      <c r="A7" t="s">
        <v>4</v>
      </c>
      <c r="C7" s="5">
        <v>31110100002</v>
      </c>
      <c r="D7" t="s">
        <v>8</v>
      </c>
      <c r="E7" s="29">
        <v>2514125.0299999998</v>
      </c>
      <c r="F7" s="4">
        <v>0.08</v>
      </c>
      <c r="G7" s="4">
        <v>0.12</v>
      </c>
      <c r="H7" s="6"/>
      <c r="I7" s="6"/>
      <c r="J7" s="21">
        <f>(E7-H7-I7)*F7</f>
        <v>201130.0024</v>
      </c>
      <c r="K7" s="7">
        <f>(E7-H7-I7)*G7</f>
        <v>301695.00359999994</v>
      </c>
      <c r="L7" s="7">
        <f t="shared" ref="L7:L19" si="0">J7*0.15</f>
        <v>30169.500359999998</v>
      </c>
      <c r="M7" s="7">
        <f t="shared" ref="M7:M14" si="1">K7*0.09</f>
        <v>27152.550323999993</v>
      </c>
      <c r="O7" s="13">
        <v>44682</v>
      </c>
      <c r="P7" s="21">
        <v>299340.7</v>
      </c>
      <c r="Q7" s="7">
        <v>150884.38</v>
      </c>
      <c r="R7" s="7">
        <v>142043.46999999956</v>
      </c>
      <c r="S7" s="7">
        <v>51855.64919999984</v>
      </c>
      <c r="T7" s="18"/>
      <c r="U7" s="7">
        <f>Tabela1[[#This Row],[IRPJ APURADO REAL]]-Tabela1[[#This Row],[IRPJ]]</f>
        <v>-157297.23000000045</v>
      </c>
      <c r="V7" s="7">
        <f>Tabela1[[#This Row],[CSLL APURADO REAL]]-Tabela1[[#This Row],[CSLL]]</f>
        <v>-99028.730800000165</v>
      </c>
      <c r="W7" t="str">
        <f>IF(Tabela1[[#This Row],[IRPJ APURADO REAL]]="","LANÇAR LUCRO REAL",IF(Tabela1[[#This Row],[IRPJ DIFERENÇA LIQUIDA ]]&lt;0,"SIM","NÃO"))</f>
        <v>SIM</v>
      </c>
      <c r="Z7" t="s">
        <v>72</v>
      </c>
    </row>
    <row r="8" spans="1:26" x14ac:dyDescent="0.3">
      <c r="A8" t="s">
        <v>5</v>
      </c>
      <c r="C8" s="5">
        <v>31110100003</v>
      </c>
      <c r="D8" t="s">
        <v>9</v>
      </c>
      <c r="E8" s="29">
        <v>45122.53</v>
      </c>
      <c r="F8" s="4">
        <v>0.32</v>
      </c>
      <c r="G8" s="4">
        <v>0.32</v>
      </c>
      <c r="H8" s="6"/>
      <c r="I8" s="6"/>
      <c r="J8" s="21">
        <f t="shared" ref="J8:J15" si="2">(E8-H8-I8)*F8</f>
        <v>14439.2096</v>
      </c>
      <c r="K8" s="7">
        <f t="shared" ref="K8:K14" si="3">(E8-H8-I8)*G8</f>
        <v>14439.2096</v>
      </c>
      <c r="L8" s="7">
        <f t="shared" si="0"/>
        <v>2165.8814400000001</v>
      </c>
      <c r="M8" s="7">
        <f t="shared" si="1"/>
        <v>1299.5288639999999</v>
      </c>
      <c r="O8" s="13">
        <v>44713</v>
      </c>
      <c r="P8" s="21">
        <v>321852.59999999998</v>
      </c>
      <c r="Q8" s="7">
        <v>163491.06</v>
      </c>
      <c r="R8" s="7">
        <v>276718.31999999966</v>
      </c>
      <c r="S8" s="7">
        <v>100338.59519999988</v>
      </c>
      <c r="T8" s="18"/>
      <c r="U8" s="7">
        <f>Tabela1[[#This Row],[IRPJ APURADO REAL]]-Tabela1[[#This Row],[IRPJ]]</f>
        <v>-45134.280000000319</v>
      </c>
      <c r="V8" s="7">
        <f>Tabela1[[#This Row],[CSLL APURADO REAL]]-Tabela1[[#This Row],[CSLL]]</f>
        <v>-63152.464800000118</v>
      </c>
      <c r="W8" t="str">
        <f>IF(Tabela1[[#This Row],[IRPJ APURADO REAL]]="","LANÇAR LUCRO REAL",IF(Tabela1[[#This Row],[IRPJ DIFERENÇA LIQUIDA ]]&lt;0,"SIM","NÃO"))</f>
        <v>SIM</v>
      </c>
      <c r="Z8" t="s">
        <v>70</v>
      </c>
    </row>
    <row r="9" spans="1:26" x14ac:dyDescent="0.3">
      <c r="C9" s="5">
        <v>31110100004</v>
      </c>
      <c r="D9" t="s">
        <v>10</v>
      </c>
      <c r="E9" s="29">
        <v>0</v>
      </c>
      <c r="F9" s="4">
        <v>0.32</v>
      </c>
      <c r="G9" s="4">
        <v>0.32</v>
      </c>
      <c r="H9" s="6"/>
      <c r="I9" s="6"/>
      <c r="J9" s="21">
        <f t="shared" si="2"/>
        <v>0</v>
      </c>
      <c r="K9" s="7">
        <f t="shared" si="3"/>
        <v>0</v>
      </c>
      <c r="L9" s="7">
        <f t="shared" si="0"/>
        <v>0</v>
      </c>
      <c r="M9" s="7">
        <f t="shared" si="1"/>
        <v>0</v>
      </c>
      <c r="O9" s="13">
        <v>44743</v>
      </c>
      <c r="P9" s="7"/>
      <c r="Q9" s="7"/>
      <c r="R9" s="7"/>
      <c r="S9" s="7"/>
      <c r="T9" s="18"/>
      <c r="U9" s="7">
        <f>Tabela1[[#This Row],[IRPJ APURADO REAL]]-Tabela1[[#This Row],[IRPJ]]</f>
        <v>0</v>
      </c>
      <c r="V9" s="7">
        <f>Tabela1[[#This Row],[CSLL APURADO REAL]]-Tabela1[[#This Row],[CSLL]]</f>
        <v>0</v>
      </c>
      <c r="W9" t="str">
        <f>IF(Tabela1[[#This Row],[IRPJ APURADO REAL]]="","LANÇAR LUCRO REAL",IF(Tabela1[[#This Row],[IRPJ DIFERENÇA LIQUIDA ]]&lt;0,"SIM","NÃO"))</f>
        <v>LANÇAR LUCRO REAL</v>
      </c>
    </row>
    <row r="10" spans="1:26" x14ac:dyDescent="0.3">
      <c r="A10" s="19" t="s">
        <v>63</v>
      </c>
      <c r="C10" s="5">
        <v>31110100005</v>
      </c>
      <c r="D10" t="s">
        <v>10</v>
      </c>
      <c r="E10" s="29">
        <v>0</v>
      </c>
      <c r="F10" s="4">
        <v>0.32</v>
      </c>
      <c r="G10" s="4">
        <v>0.32</v>
      </c>
      <c r="H10" s="6"/>
      <c r="I10" s="6"/>
      <c r="J10" s="21">
        <f>(E10-H10-I10)*F10</f>
        <v>0</v>
      </c>
      <c r="K10" s="7">
        <f>(E10-H10-I10)*G10</f>
        <v>0</v>
      </c>
      <c r="L10" s="7">
        <f t="shared" si="0"/>
        <v>0</v>
      </c>
      <c r="M10" s="7">
        <f t="shared" si="1"/>
        <v>0</v>
      </c>
      <c r="O10" s="13">
        <v>44774</v>
      </c>
      <c r="P10" s="7"/>
      <c r="Q10" s="7"/>
      <c r="R10" s="7"/>
      <c r="S10" s="7"/>
      <c r="T10" s="18"/>
      <c r="U10" s="7">
        <f>Tabela1[[#This Row],[IRPJ APURADO REAL]]-Tabela1[[#This Row],[IRPJ]]</f>
        <v>0</v>
      </c>
      <c r="V10" s="7">
        <f>Tabela1[[#This Row],[CSLL APURADO REAL]]-Tabela1[[#This Row],[CSLL]]</f>
        <v>0</v>
      </c>
      <c r="W10" t="str">
        <f>IF(Tabela1[[#This Row],[IRPJ APURADO REAL]]="","LANÇAR LUCRO REAL",IF(Tabela1[[#This Row],[IRPJ DIFERENÇA LIQUIDA ]]&lt;0,"SIM","NÃO"))</f>
        <v>LANÇAR LUCRO REAL</v>
      </c>
    </row>
    <row r="11" spans="1:26" x14ac:dyDescent="0.3">
      <c r="C11" s="5">
        <v>31110100006</v>
      </c>
      <c r="D11" t="s">
        <v>11</v>
      </c>
      <c r="E11" s="29">
        <v>251318.56</v>
      </c>
      <c r="F11" s="4">
        <v>0.08</v>
      </c>
      <c r="G11" s="4">
        <v>0.12</v>
      </c>
      <c r="H11" s="6"/>
      <c r="I11" s="6"/>
      <c r="J11" s="21">
        <f>(E11-H11-I11)*F11</f>
        <v>20105.484800000002</v>
      </c>
      <c r="K11" s="7">
        <f>(E11-H11-I11)*G11</f>
        <v>30158.227199999998</v>
      </c>
      <c r="L11" s="7">
        <f t="shared" si="0"/>
        <v>3015.8227200000001</v>
      </c>
      <c r="M11" s="7">
        <f t="shared" si="1"/>
        <v>2714.2404479999996</v>
      </c>
      <c r="O11" s="13">
        <v>44805</v>
      </c>
      <c r="P11" s="7"/>
      <c r="Q11" s="7"/>
      <c r="R11" s="7"/>
      <c r="S11" s="7"/>
      <c r="T11" s="18"/>
      <c r="U11" s="7">
        <f>Tabela1[[#This Row],[IRPJ APURADO REAL]]-Tabela1[[#This Row],[IRPJ]]</f>
        <v>0</v>
      </c>
      <c r="V11" s="7">
        <f>Tabela1[[#This Row],[CSLL APURADO REAL]]-Tabela1[[#This Row],[CSLL]]</f>
        <v>0</v>
      </c>
      <c r="W11" t="str">
        <f>IF(Tabela1[[#This Row],[IRPJ APURADO REAL]]="","LANÇAR LUCRO REAL",IF(Tabela1[[#This Row],[IRPJ DIFERENÇA LIQUIDA ]]&lt;0,"SIM","NÃO"))</f>
        <v>LANÇAR LUCRO REAL</v>
      </c>
    </row>
    <row r="12" spans="1:26" x14ac:dyDescent="0.3">
      <c r="C12" s="5">
        <v>31110100007</v>
      </c>
      <c r="D12" t="s">
        <v>12</v>
      </c>
      <c r="E12" s="29">
        <v>0</v>
      </c>
      <c r="F12" s="4">
        <v>0.08</v>
      </c>
      <c r="G12" s="4">
        <v>0.12</v>
      </c>
      <c r="H12" s="6"/>
      <c r="I12" s="6"/>
      <c r="J12" s="21">
        <f t="shared" si="2"/>
        <v>0</v>
      </c>
      <c r="K12" s="7">
        <f t="shared" si="3"/>
        <v>0</v>
      </c>
      <c r="L12" s="7">
        <f t="shared" si="0"/>
        <v>0</v>
      </c>
      <c r="M12" s="7">
        <f t="shared" si="1"/>
        <v>0</v>
      </c>
      <c r="O12" s="13">
        <v>44835</v>
      </c>
      <c r="P12" s="7"/>
      <c r="Q12" s="7"/>
      <c r="R12" s="7"/>
      <c r="S12" s="7"/>
      <c r="T12" s="18"/>
      <c r="U12" s="7">
        <f>Tabela1[[#This Row],[IRPJ APURADO REAL]]-Tabela1[[#This Row],[IRPJ]]</f>
        <v>0</v>
      </c>
      <c r="V12" s="7">
        <f>Tabela1[[#This Row],[CSLL APURADO REAL]]-Tabela1[[#This Row],[CSLL]]</f>
        <v>0</v>
      </c>
      <c r="W12" t="str">
        <f>IF(Tabela1[[#This Row],[IRPJ APURADO REAL]]="","LANÇAR LUCRO REAL",IF(Tabela1[[#This Row],[IRPJ DIFERENÇA LIQUIDA ]]&lt;0,"SIM","NÃO"))</f>
        <v>LANÇAR LUCRO REAL</v>
      </c>
    </row>
    <row r="13" spans="1:26" x14ac:dyDescent="0.3">
      <c r="A13" t="s">
        <v>78</v>
      </c>
      <c r="C13" s="5">
        <v>491101</v>
      </c>
      <c r="D13" t="s">
        <v>15</v>
      </c>
      <c r="E13" s="29">
        <v>0</v>
      </c>
      <c r="F13" s="4">
        <v>1</v>
      </c>
      <c r="G13" s="4">
        <v>1</v>
      </c>
      <c r="H13" s="6"/>
      <c r="I13" s="6"/>
      <c r="J13" s="21">
        <f t="shared" si="2"/>
        <v>0</v>
      </c>
      <c r="K13" s="7">
        <f t="shared" si="3"/>
        <v>0</v>
      </c>
      <c r="L13" s="7">
        <f t="shared" si="0"/>
        <v>0</v>
      </c>
      <c r="M13" s="7">
        <f t="shared" si="1"/>
        <v>0</v>
      </c>
      <c r="O13" s="13">
        <v>44866</v>
      </c>
      <c r="P13" s="7"/>
      <c r="Q13" s="7"/>
      <c r="R13" s="7"/>
      <c r="S13" s="7"/>
      <c r="T13" s="2"/>
      <c r="U13" s="7">
        <f>Tabela1[[#This Row],[IRPJ APURADO REAL]]-Tabela1[[#This Row],[IRPJ]]</f>
        <v>0</v>
      </c>
      <c r="V13" s="7">
        <f>Tabela1[[#This Row],[CSLL APURADO REAL]]-Tabela1[[#This Row],[CSLL]]</f>
        <v>0</v>
      </c>
      <c r="W13" t="str">
        <f>IF(Tabela1[[#This Row],[IRPJ APURADO REAL]]="","LANÇAR LUCRO REAL",IF(Tabela1[[#This Row],[IRPJ DIFERENÇA LIQUIDA ]]&lt;0,"SIM","NÃO"))</f>
        <v>LANÇAR LUCRO REAL</v>
      </c>
    </row>
    <row r="14" spans="1:26" x14ac:dyDescent="0.3">
      <c r="A14" t="s">
        <v>79</v>
      </c>
      <c r="C14" s="5">
        <v>49120200001</v>
      </c>
      <c r="D14" t="s">
        <v>14</v>
      </c>
      <c r="E14" s="29">
        <v>10532</v>
      </c>
      <c r="F14" s="4">
        <v>1</v>
      </c>
      <c r="G14" s="4">
        <v>1</v>
      </c>
      <c r="H14" s="6"/>
      <c r="I14" s="6"/>
      <c r="J14" s="21">
        <f t="shared" si="2"/>
        <v>10532</v>
      </c>
      <c r="K14" s="7">
        <f t="shared" si="3"/>
        <v>10532</v>
      </c>
      <c r="L14" s="7">
        <f t="shared" si="0"/>
        <v>1579.8</v>
      </c>
      <c r="M14" s="7">
        <f t="shared" si="1"/>
        <v>947.88</v>
      </c>
      <c r="O14" s="13">
        <v>44896</v>
      </c>
      <c r="P14" s="7"/>
      <c r="Q14" s="7"/>
      <c r="R14" s="7"/>
      <c r="S14" s="7"/>
      <c r="T14" s="2"/>
      <c r="U14" s="7">
        <f>Tabela1[[#This Row],[IRPJ APURADO REAL]]-Tabela1[[#This Row],[IRPJ]]</f>
        <v>0</v>
      </c>
      <c r="V14" s="7">
        <f>Tabela1[[#This Row],[CSLL APURADO REAL]]-Tabela1[[#This Row],[CSLL]]</f>
        <v>0</v>
      </c>
      <c r="W14" t="str">
        <f>IF(Tabela1[[#This Row],[IRPJ DIFERENÇA LIQUIDA ]]&lt;0,"SIM","NÃO")</f>
        <v>NÃO</v>
      </c>
    </row>
    <row r="15" spans="1:26" x14ac:dyDescent="0.3">
      <c r="B15" s="2" t="s">
        <v>29</v>
      </c>
      <c r="C15" s="5">
        <v>43110100001</v>
      </c>
      <c r="D15" t="s">
        <v>31</v>
      </c>
      <c r="E15" s="29">
        <v>134686.76</v>
      </c>
      <c r="F15" s="4">
        <v>1</v>
      </c>
      <c r="G15" s="4">
        <v>1</v>
      </c>
      <c r="H15" s="6"/>
      <c r="I15" s="6"/>
      <c r="J15" s="21">
        <f t="shared" si="2"/>
        <v>134686.76</v>
      </c>
      <c r="K15" s="7">
        <f t="shared" ref="K15:K18" si="4">(E15-H15-I15)*G15</f>
        <v>134686.76</v>
      </c>
      <c r="L15" s="7">
        <f t="shared" si="0"/>
        <v>20203.013999999999</v>
      </c>
      <c r="M15" s="7">
        <f t="shared" ref="M15:M18" si="5">K15*0.09</f>
        <v>12121.8084</v>
      </c>
      <c r="O15" s="13" t="s">
        <v>49</v>
      </c>
      <c r="P15" s="7">
        <f>SUM(R3:R14)-SUM(P3:P14)</f>
        <v>-236285.5725000028</v>
      </c>
      <c r="Q15" s="7">
        <f>SUM(S3:S14)-SUM(Q3:Q14)</f>
        <v>-267242.7677000009</v>
      </c>
      <c r="R15" s="7"/>
      <c r="S15" s="7"/>
      <c r="T15" s="2"/>
      <c r="U15" s="7"/>
      <c r="V15" s="7"/>
    </row>
    <row r="16" spans="1:26" x14ac:dyDescent="0.3">
      <c r="B16" s="2" t="s">
        <v>30</v>
      </c>
      <c r="C16">
        <v>43110100001</v>
      </c>
      <c r="D16" t="s">
        <v>32</v>
      </c>
      <c r="E16" s="29"/>
      <c r="F16" s="4">
        <v>1</v>
      </c>
      <c r="G16" s="4">
        <v>1</v>
      </c>
      <c r="H16" s="6"/>
      <c r="I16" s="6"/>
      <c r="J16" s="33"/>
      <c r="K16" s="33"/>
      <c r="L16" s="33"/>
      <c r="M16" s="33"/>
      <c r="U16" s="14">
        <f>SUM(U3:U15)</f>
        <v>-236285.57250000275</v>
      </c>
      <c r="V16" s="14">
        <f>SUM(V3:V15)</f>
        <v>-267242.76770000102</v>
      </c>
    </row>
    <row r="17" spans="2:16" x14ac:dyDescent="0.3">
      <c r="C17">
        <v>43110100003</v>
      </c>
      <c r="D17" t="s">
        <v>73</v>
      </c>
      <c r="E17" s="29">
        <v>20821.88</v>
      </c>
      <c r="F17" s="4">
        <v>1</v>
      </c>
      <c r="G17" s="4">
        <v>1</v>
      </c>
      <c r="H17" s="6"/>
      <c r="I17" s="6"/>
      <c r="J17" s="21">
        <f t="shared" ref="J17:J18" si="6">(E17-H17-I17)*F17</f>
        <v>20821.88</v>
      </c>
      <c r="K17" s="7">
        <f t="shared" si="4"/>
        <v>20821.88</v>
      </c>
      <c r="L17" s="7">
        <f t="shared" si="0"/>
        <v>3123.2820000000002</v>
      </c>
      <c r="M17" s="7">
        <f t="shared" si="5"/>
        <v>1873.9692</v>
      </c>
    </row>
    <row r="18" spans="2:16" x14ac:dyDescent="0.3">
      <c r="C18">
        <v>43110100004</v>
      </c>
      <c r="D18" t="s">
        <v>74</v>
      </c>
      <c r="E18" s="29">
        <v>12.01</v>
      </c>
      <c r="F18" s="4">
        <v>1</v>
      </c>
      <c r="G18" s="4">
        <v>1</v>
      </c>
      <c r="H18" s="6"/>
      <c r="I18" s="6"/>
      <c r="J18" s="21">
        <f t="shared" si="6"/>
        <v>12.01</v>
      </c>
      <c r="K18" s="7">
        <f t="shared" si="4"/>
        <v>12.01</v>
      </c>
      <c r="L18" s="7">
        <f t="shared" si="0"/>
        <v>1.8014999999999999</v>
      </c>
      <c r="M18" s="7">
        <f t="shared" si="5"/>
        <v>1.0809</v>
      </c>
      <c r="O18" s="7"/>
    </row>
    <row r="19" spans="2:16" x14ac:dyDescent="0.3">
      <c r="B19" s="2" t="s">
        <v>77</v>
      </c>
      <c r="C19" t="s">
        <v>64</v>
      </c>
      <c r="D19" t="s">
        <v>45</v>
      </c>
      <c r="E19" s="29">
        <v>72604.78</v>
      </c>
      <c r="F19" s="4">
        <v>1</v>
      </c>
      <c r="G19" s="4">
        <v>1</v>
      </c>
      <c r="H19" s="22"/>
      <c r="I19" s="22"/>
      <c r="J19" s="21">
        <f t="shared" ref="J19:J20" si="7">(E19-H19-I19)*F19</f>
        <v>72604.78</v>
      </c>
      <c r="K19" s="21">
        <f t="shared" ref="K19:K20" si="8">(E19-H19-I19)*G19</f>
        <v>72604.78</v>
      </c>
      <c r="L19" s="7">
        <f t="shared" si="0"/>
        <v>10890.716999999999</v>
      </c>
      <c r="M19" s="21">
        <f t="shared" ref="M19:M20" si="9">K19*0.09</f>
        <v>6534.4301999999998</v>
      </c>
    </row>
    <row r="20" spans="2:16" x14ac:dyDescent="0.3">
      <c r="B20" s="12" t="s">
        <v>43</v>
      </c>
      <c r="D20" t="s">
        <v>57</v>
      </c>
      <c r="E20" s="29"/>
      <c r="F20" s="4">
        <v>1</v>
      </c>
      <c r="G20" s="4">
        <v>1</v>
      </c>
      <c r="J20" s="21">
        <f t="shared" si="7"/>
        <v>0</v>
      </c>
      <c r="K20" s="7">
        <f t="shared" si="8"/>
        <v>0</v>
      </c>
      <c r="L20" s="7">
        <f t="shared" ref="L20" si="10">K20*0.15</f>
        <v>0</v>
      </c>
      <c r="M20" s="7">
        <f t="shared" si="9"/>
        <v>0</v>
      </c>
      <c r="O20" s="32" t="s">
        <v>80</v>
      </c>
      <c r="P20" s="32"/>
    </row>
    <row r="21" spans="2:16" x14ac:dyDescent="0.3">
      <c r="E21" s="9">
        <f>SUM(E6:E20)</f>
        <v>13386007.619999999</v>
      </c>
      <c r="F21" s="20">
        <f>J21/E21</f>
        <v>9.6773469818180191E-2</v>
      </c>
      <c r="G21" s="20">
        <f>K21/E21</f>
        <v>0.1357064285609603</v>
      </c>
      <c r="H21" s="9">
        <f>SUM(H6:H20)</f>
        <v>61984.42</v>
      </c>
      <c r="I21" s="9">
        <f t="shared" ref="I21" si="11">SUM(I6:I20)</f>
        <v>11321.18</v>
      </c>
      <c r="J21" s="9">
        <f>SUM(J6:J20)</f>
        <v>1295410.4043999999</v>
      </c>
      <c r="K21" s="9">
        <f>SUM(K6:K20)</f>
        <v>1816567.2867999999</v>
      </c>
      <c r="L21" s="7">
        <f>SUM(L6:L20)</f>
        <v>194311.56065999999</v>
      </c>
      <c r="M21" s="7">
        <f>SUM(M6:M20)</f>
        <v>163491.05581199998</v>
      </c>
      <c r="O21" s="2" t="s">
        <v>20</v>
      </c>
      <c r="P21" s="2" t="s">
        <v>21</v>
      </c>
    </row>
    <row r="22" spans="2:16" x14ac:dyDescent="0.3">
      <c r="E22" s="9"/>
      <c r="H22" s="9"/>
      <c r="I22" s="9"/>
      <c r="J22" s="9"/>
      <c r="K22" s="9"/>
      <c r="L22" s="9"/>
      <c r="M22" s="9"/>
      <c r="O22" s="9">
        <f>J21*0.15</f>
        <v>194311.56065999999</v>
      </c>
      <c r="P22" s="9">
        <f>K21*0.09</f>
        <v>163491.05581199998</v>
      </c>
    </row>
    <row r="23" spans="2:16" ht="15" thickBot="1" x14ac:dyDescent="0.35">
      <c r="C23" s="23" t="s">
        <v>67</v>
      </c>
      <c r="D23" s="24" t="s">
        <v>66</v>
      </c>
      <c r="E23" s="25"/>
      <c r="F23" s="26"/>
      <c r="G23" s="26"/>
      <c r="H23" s="25"/>
      <c r="I23" s="25"/>
      <c r="J23" s="25"/>
      <c r="K23" s="25"/>
      <c r="L23" s="25"/>
      <c r="M23" s="25"/>
      <c r="O23" s="28">
        <f>(J21-20000)*0.1</f>
        <v>127541.04044</v>
      </c>
    </row>
    <row r="24" spans="2:16" x14ac:dyDescent="0.3">
      <c r="E24" s="9"/>
      <c r="H24" s="9"/>
      <c r="I24" s="9"/>
      <c r="J24" s="9"/>
      <c r="K24" s="27" t="s">
        <v>75</v>
      </c>
      <c r="L24" s="9">
        <f>(J21-20000)*0.1</f>
        <v>127541.04044</v>
      </c>
      <c r="M24" s="9"/>
      <c r="O24" s="9">
        <f>O22+O23</f>
        <v>321852.60109999997</v>
      </c>
    </row>
    <row r="25" spans="2:16" x14ac:dyDescent="0.3">
      <c r="K25" s="5" t="s">
        <v>76</v>
      </c>
      <c r="L25" s="9">
        <f>L21+L24</f>
        <v>321852.60109999997</v>
      </c>
    </row>
    <row r="26" spans="2:16" x14ac:dyDescent="0.3">
      <c r="C26" s="2" t="s">
        <v>33</v>
      </c>
      <c r="D26" s="2" t="s">
        <v>35</v>
      </c>
      <c r="E26" t="s">
        <v>42</v>
      </c>
      <c r="H26" s="10"/>
    </row>
    <row r="27" spans="2:16" x14ac:dyDescent="0.3">
      <c r="C27" s="2" t="s">
        <v>34</v>
      </c>
      <c r="D27" s="2" t="s">
        <v>36</v>
      </c>
      <c r="E27" t="s">
        <v>42</v>
      </c>
      <c r="M27" s="7"/>
    </row>
    <row r="28" spans="2:16" x14ac:dyDescent="0.3">
      <c r="C28" s="2"/>
      <c r="D28" s="2"/>
    </row>
    <row r="29" spans="2:16" x14ac:dyDescent="0.3">
      <c r="C29" s="2" t="s">
        <v>37</v>
      </c>
      <c r="D29" s="2" t="s">
        <v>39</v>
      </c>
      <c r="E29" t="s">
        <v>41</v>
      </c>
      <c r="F29" s="5" t="s">
        <v>44</v>
      </c>
      <c r="M29" s="7"/>
    </row>
    <row r="30" spans="2:16" x14ac:dyDescent="0.3">
      <c r="C30" s="2" t="s">
        <v>38</v>
      </c>
      <c r="D30" s="2" t="s">
        <v>40</v>
      </c>
      <c r="E30" t="s">
        <v>41</v>
      </c>
      <c r="M30" s="9"/>
    </row>
    <row r="33" spans="3:3" x14ac:dyDescent="0.3">
      <c r="C33" t="s">
        <v>47</v>
      </c>
    </row>
    <row r="34" spans="3:3" x14ac:dyDescent="0.3">
      <c r="C34" t="s">
        <v>48</v>
      </c>
    </row>
    <row r="35" spans="3:3" x14ac:dyDescent="0.3">
      <c r="C35" t="s">
        <v>46</v>
      </c>
    </row>
    <row r="37" spans="3:3" x14ac:dyDescent="0.3">
      <c r="C37" t="s">
        <v>50</v>
      </c>
    </row>
    <row r="38" spans="3:3" x14ac:dyDescent="0.3">
      <c r="C38" t="s">
        <v>51</v>
      </c>
    </row>
    <row r="40" spans="3:3" x14ac:dyDescent="0.3">
      <c r="C40" t="s">
        <v>52</v>
      </c>
    </row>
    <row r="41" spans="3:3" x14ac:dyDescent="0.3">
      <c r="C41" t="s">
        <v>53</v>
      </c>
    </row>
    <row r="42" spans="3:3" x14ac:dyDescent="0.3">
      <c r="C42" t="s">
        <v>54</v>
      </c>
    </row>
    <row r="43" spans="3:3" x14ac:dyDescent="0.3">
      <c r="C43" t="s">
        <v>55</v>
      </c>
    </row>
    <row r="44" spans="3:3" x14ac:dyDescent="0.3">
      <c r="C44" t="s">
        <v>56</v>
      </c>
    </row>
  </sheetData>
  <mergeCells count="5">
    <mergeCell ref="C5:D5"/>
    <mergeCell ref="C1:M2"/>
    <mergeCell ref="O1:S1"/>
    <mergeCell ref="J16:M16"/>
    <mergeCell ref="O20:P20"/>
  </mergeCells>
  <conditionalFormatting sqref="R4">
    <cfRule type="cellIs" dxfId="8" priority="4" operator="equal">
      <formula>"Verificar"</formula>
    </cfRule>
  </conditionalFormatting>
  <conditionalFormatting sqref="S4">
    <cfRule type="cellIs" dxfId="7" priority="3" operator="equal">
      <formula>"Verificar"</formula>
    </cfRule>
  </conditionalFormatting>
  <hyperlinks>
    <hyperlink ref="D23" r:id="rId1" xr:uid="{781BCB29-0219-4530-9A91-75D85F403F15}"/>
  </hyperlinks>
  <pageMargins left="0.511811024" right="0.511811024" top="0.78740157499999996" bottom="0.78740157499999996" header="0.31496062000000002" footer="0.31496062000000002"/>
  <pageSetup paperSize="9" orientation="portrait" horizontalDpi="0" verticalDpi="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AGF-Equipamentos</dc:creator>
  <cp:lastModifiedBy>Danilo Machado</cp:lastModifiedBy>
  <dcterms:created xsi:type="dcterms:W3CDTF">2022-11-30T12:50:07Z</dcterms:created>
  <dcterms:modified xsi:type="dcterms:W3CDTF">2026-08-06T14:16:43Z</dcterms:modified>
</cp:coreProperties>
</file>