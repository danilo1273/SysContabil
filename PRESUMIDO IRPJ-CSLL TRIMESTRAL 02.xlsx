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FECHAMENTOS\2026\IRPJ\2º T\"/>
    </mc:Choice>
  </mc:AlternateContent>
  <xr:revisionPtr revIDLastSave="0" documentId="13_ncr:1_{FD5507BB-285D-436B-8629-2DBB92BDB2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NSAL" sheetId="2" r:id="rId1"/>
    <sheet name="TRIMESTR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5" i="1"/>
  <c r="C7" i="1" s="1"/>
  <c r="B31" i="1"/>
  <c r="B21" i="2"/>
  <c r="B20" i="2"/>
  <c r="B19" i="2"/>
  <c r="B18" i="2"/>
  <c r="B41" i="2"/>
  <c r="B40" i="2"/>
  <c r="B39" i="2"/>
  <c r="B22" i="2"/>
  <c r="B14" i="2"/>
  <c r="F2" i="2"/>
  <c r="B41" i="1" l="1"/>
  <c r="B42" i="1"/>
  <c r="B21" i="1"/>
  <c r="B20" i="1"/>
  <c r="C6" i="1"/>
  <c r="B24" i="2"/>
  <c r="B27" i="2" s="1"/>
  <c r="B43" i="2"/>
  <c r="B45" i="2" s="1"/>
  <c r="B50" i="2" s="1"/>
  <c r="B26" i="2"/>
  <c r="B29" i="2" s="1"/>
  <c r="F2" i="1"/>
  <c r="B43" i="1"/>
  <c r="B22" i="1"/>
  <c r="B14" i="1"/>
  <c r="B39" i="1" l="1"/>
  <c r="B19" i="1"/>
  <c r="B40" i="1"/>
  <c r="B18" i="1"/>
  <c r="B35" i="2"/>
  <c r="B24" i="1" l="1"/>
  <c r="B27" i="1" s="1"/>
  <c r="B26" i="1" l="1"/>
  <c r="B29" i="1" s="1"/>
  <c r="B35" i="1" s="1"/>
  <c r="B45" i="1"/>
  <c r="B47" i="1" s="1"/>
  <c r="B52" i="1" s="1"/>
</calcChain>
</file>

<file path=xl/sharedStrings.xml><?xml version="1.0" encoding="utf-8"?>
<sst xmlns="http://schemas.openxmlformats.org/spreadsheetml/2006/main" count="77" uniqueCount="37">
  <si>
    <t>RECEITAS</t>
  </si>
  <si>
    <t>Venda / Revenda</t>
  </si>
  <si>
    <t>Serviços / Locação</t>
  </si>
  <si>
    <t>Receitas Aplicações</t>
  </si>
  <si>
    <t xml:space="preserve">        Duplicatas a Receber - Clientes Exterior</t>
  </si>
  <si>
    <t>Outras receitas financeiras</t>
  </si>
  <si>
    <t>Variação Cambial Ativa</t>
  </si>
  <si>
    <t>Ganho Capital (Imob)</t>
  </si>
  <si>
    <t>Total</t>
  </si>
  <si>
    <t>A-) Imposto de Renda / Base de Cálculo</t>
  </si>
  <si>
    <t>Venda / Revenda (8%)</t>
  </si>
  <si>
    <t>Serviços/Locação (32%)</t>
  </si>
  <si>
    <t>Rec Finac /V.C./ G.C. (100%)</t>
  </si>
  <si>
    <t>Total - Base de Cálculo</t>
  </si>
  <si>
    <t>IRPJ -15%</t>
  </si>
  <si>
    <t>IRPJ - Adicional</t>
  </si>
  <si>
    <t>Total IRPJ</t>
  </si>
  <si>
    <t>(-) Compensações de IRRF</t>
  </si>
  <si>
    <t>(-) Compensações - PER/DCOMP</t>
  </si>
  <si>
    <t xml:space="preserve">   IRPJ a Recolher 2089</t>
  </si>
  <si>
    <t>B-) Contribuição Social / Base de Cálculo</t>
  </si>
  <si>
    <t>Venda / Revenda (12%)</t>
  </si>
  <si>
    <t>Contribuição Social - 9%</t>
  </si>
  <si>
    <t>(-) Compensações - CSLL</t>
  </si>
  <si>
    <t xml:space="preserve">   Contr. Social a recolher 2372</t>
  </si>
  <si>
    <t>LIMITE PARA ADICIONAL</t>
  </si>
  <si>
    <t>TRIMESTRAL</t>
  </si>
  <si>
    <t>Venda / Revenda (8,8%)</t>
  </si>
  <si>
    <t>Serviços/Locação (35,2%)</t>
  </si>
  <si>
    <t>MENSAL</t>
  </si>
  <si>
    <t>AJUSTAR A PARTIR DO 2º TRIMESTRE</t>
  </si>
  <si>
    <t xml:space="preserve">CSLL </t>
  </si>
  <si>
    <t>INICIO 02º TRIMESTRE</t>
  </si>
  <si>
    <t>Venda / Revenda (13,2%)</t>
  </si>
  <si>
    <t>RENDIMENTO APLICACOES</t>
  </si>
  <si>
    <t>REND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</si>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</sst>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&quot;0,00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i/>
      <sz val="11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64" fontId="2" fillId="0" borderId="0" xfId="0" applyNumberFormat="1" applyFont="1" applyAlignment="1">
      <alignment horizontal="fill"/>
    </xf>
    <xf numFmtId="164" fontId="4" fillId="0" borderId="0" xfId="2" applyNumberFormat="1" applyFont="1" applyAlignment="1">
      <alignment horizontal="center"/>
    </xf>
    <xf numFmtId="164" fontId="2" fillId="0" borderId="0" xfId="2" applyNumberFormat="1" applyFont="1" applyAlignment="1">
      <alignment horizontal="left"/>
    </xf>
    <xf numFmtId="164" fontId="2" fillId="0" borderId="0" xfId="2" applyNumberFormat="1" applyFont="1"/>
    <xf numFmtId="164" fontId="5" fillId="0" borderId="0" xfId="2" applyNumberFormat="1" applyFont="1" applyAlignment="1">
      <alignment horizontal="center"/>
    </xf>
    <xf numFmtId="164" fontId="2" fillId="0" borderId="0" xfId="2" applyNumberFormat="1" applyFont="1" applyAlignment="1">
      <alignment horizontal="left" vertical="center"/>
    </xf>
    <xf numFmtId="164" fontId="2" fillId="0" borderId="0" xfId="2" applyNumberFormat="1" applyFont="1" applyAlignment="1">
      <alignment horizontal="center"/>
    </xf>
    <xf numFmtId="164" fontId="2" fillId="0" borderId="0" xfId="2" applyNumberFormat="1" applyFont="1" applyAlignment="1">
      <alignment horizontal="fill"/>
    </xf>
    <xf numFmtId="164" fontId="5" fillId="0" borderId="0" xfId="2" quotePrefix="1" applyNumberFormat="1" applyFont="1" applyAlignment="1">
      <alignment horizontal="center"/>
    </xf>
    <xf numFmtId="164" fontId="7" fillId="2" borderId="1" xfId="2" quotePrefix="1" applyNumberFormat="1" applyFont="1" applyFill="1" applyBorder="1" applyAlignment="1">
      <alignment horizontal="center"/>
    </xf>
    <xf numFmtId="44" fontId="0" fillId="0" borderId="0" xfId="1" applyFont="1"/>
    <xf numFmtId="8" fontId="0" fillId="0" borderId="0" xfId="0" applyNumberFormat="1"/>
    <xf numFmtId="44" fontId="0" fillId="0" borderId="0" xfId="0" applyNumberFormat="1"/>
    <xf numFmtId="10" fontId="0" fillId="0" borderId="0" xfId="3" applyNumberFormat="1" applyFont="1"/>
    <xf numFmtId="164" fontId="6" fillId="2" borderId="0" xfId="0" applyNumberFormat="1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</cellXfs>
  <cellStyles count="4">
    <cellStyle name="Moeda" xfId="1" builtinId="4"/>
    <cellStyle name="Normal" xfId="0" builtinId="0"/>
    <cellStyle name="Normal_DF Modelo 2002" xfId="2" xr:uid="{0AD51481-AE11-45B8-9D16-081F9D03A52B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07AC-24F1-4856-959E-A51225B248C9}">
  <dimension ref="A1:F51"/>
  <sheetViews>
    <sheetView workbookViewId="0">
      <selection activeCell="B18" sqref="B18"/>
    </sheetView>
  </sheetViews>
  <sheetFormatPr defaultRowHeight="14.4" x14ac:dyDescent="0.3"/>
  <cols>
    <col min="1" max="1" width="39.77734375" bestFit="1" customWidth="1"/>
    <col min="2" max="2" width="16.77734375" bestFit="1" customWidth="1"/>
    <col min="5" max="5" width="22.77734375" bestFit="1" customWidth="1"/>
    <col min="6" max="6" width="14.44140625" bestFit="1" customWidth="1"/>
  </cols>
  <sheetData>
    <row r="1" spans="1:6" x14ac:dyDescent="0.3">
      <c r="E1" t="s">
        <v>25</v>
      </c>
      <c r="F1" s="12">
        <v>5000000</v>
      </c>
    </row>
    <row r="2" spans="1:6" x14ac:dyDescent="0.3">
      <c r="A2" s="15" t="s">
        <v>29</v>
      </c>
      <c r="B2" s="15"/>
      <c r="E2" t="s">
        <v>26</v>
      </c>
      <c r="F2" s="12">
        <f>F1/4</f>
        <v>1250000</v>
      </c>
    </row>
    <row r="3" spans="1:6" x14ac:dyDescent="0.3">
      <c r="A3" s="1"/>
      <c r="E3" t="s">
        <v>29</v>
      </c>
      <c r="F3" s="11">
        <v>416666.67</v>
      </c>
    </row>
    <row r="4" spans="1:6" ht="15.6" x14ac:dyDescent="0.3">
      <c r="A4" s="2" t="s">
        <v>0</v>
      </c>
    </row>
    <row r="5" spans="1:6" x14ac:dyDescent="0.3">
      <c r="A5" s="3"/>
    </row>
    <row r="6" spans="1:6" x14ac:dyDescent="0.3">
      <c r="A6" s="3" t="s">
        <v>1</v>
      </c>
      <c r="B6" s="11">
        <v>2605400</v>
      </c>
    </row>
    <row r="7" spans="1:6" x14ac:dyDescent="0.3">
      <c r="A7" s="3" t="s">
        <v>2</v>
      </c>
      <c r="B7" s="11">
        <v>6000</v>
      </c>
    </row>
    <row r="8" spans="1:6" x14ac:dyDescent="0.3">
      <c r="A8" s="3" t="s">
        <v>3</v>
      </c>
      <c r="B8" s="11">
        <v>0</v>
      </c>
    </row>
    <row r="9" spans="1:6" x14ac:dyDescent="0.3">
      <c r="A9" s="3" t="s">
        <v>4</v>
      </c>
      <c r="B9" s="11"/>
    </row>
    <row r="10" spans="1:6" x14ac:dyDescent="0.3">
      <c r="A10" s="3" t="s">
        <v>5</v>
      </c>
      <c r="B10" s="11"/>
    </row>
    <row r="11" spans="1:6" x14ac:dyDescent="0.3">
      <c r="A11" s="3" t="s">
        <v>6</v>
      </c>
      <c r="B11" s="11"/>
    </row>
    <row r="12" spans="1:6" x14ac:dyDescent="0.3">
      <c r="A12" s="3" t="s">
        <v>7</v>
      </c>
      <c r="B12" s="11"/>
    </row>
    <row r="13" spans="1:6" x14ac:dyDescent="0.3">
      <c r="A13" s="4"/>
      <c r="B13" s="11"/>
    </row>
    <row r="14" spans="1:6" x14ac:dyDescent="0.3">
      <c r="A14" s="5" t="s">
        <v>8</v>
      </c>
      <c r="B14" s="11">
        <f>SUM(B6:B13)</f>
        <v>2611400</v>
      </c>
    </row>
    <row r="15" spans="1:6" x14ac:dyDescent="0.3">
      <c r="A15" s="3"/>
      <c r="B15" s="11"/>
    </row>
    <row r="16" spans="1:6" ht="15.6" x14ac:dyDescent="0.3">
      <c r="A16" s="2" t="s">
        <v>9</v>
      </c>
      <c r="B16" s="11"/>
    </row>
    <row r="17" spans="1:2" x14ac:dyDescent="0.3">
      <c r="A17" s="3"/>
      <c r="B17" s="11"/>
    </row>
    <row r="18" spans="1:2" x14ac:dyDescent="0.3">
      <c r="A18" s="6" t="s">
        <v>10</v>
      </c>
      <c r="B18" s="11">
        <f>IF(B6&lt;=416666.67,B6*0.08,416666.67*0.08)</f>
        <v>33333.333599999998</v>
      </c>
    </row>
    <row r="19" spans="1:2" x14ac:dyDescent="0.3">
      <c r="A19" s="6" t="s">
        <v>27</v>
      </c>
      <c r="B19" s="11">
        <f>IF(B6&gt;416666.67,(B6-416666.67)*0.088,0)</f>
        <v>192608.53304000001</v>
      </c>
    </row>
    <row r="20" spans="1:2" x14ac:dyDescent="0.3">
      <c r="A20" s="6" t="s">
        <v>11</v>
      </c>
      <c r="B20" s="11">
        <f>IF(B7&lt;=416666.67,B7*0.32,416666.67*0.32)</f>
        <v>1920</v>
      </c>
    </row>
    <row r="21" spans="1:2" x14ac:dyDescent="0.3">
      <c r="A21" s="6" t="s">
        <v>28</v>
      </c>
      <c r="B21" s="11">
        <f>IF(B7&gt;416666.67,(B7-416666.67)*0.352,0)</f>
        <v>0</v>
      </c>
    </row>
    <row r="22" spans="1:2" x14ac:dyDescent="0.3">
      <c r="A22" s="6" t="s">
        <v>12</v>
      </c>
      <c r="B22" s="11">
        <f>SUM(B8:B12)</f>
        <v>0</v>
      </c>
    </row>
    <row r="23" spans="1:2" x14ac:dyDescent="0.3">
      <c r="A23" s="7"/>
      <c r="B23" s="11"/>
    </row>
    <row r="24" spans="1:2" x14ac:dyDescent="0.3">
      <c r="A24" s="7" t="s">
        <v>13</v>
      </c>
      <c r="B24" s="11">
        <f>SUM(B18:B22)</f>
        <v>227861.86664000002</v>
      </c>
    </row>
    <row r="25" spans="1:2" x14ac:dyDescent="0.3">
      <c r="A25" s="7"/>
      <c r="B25" s="11"/>
    </row>
    <row r="26" spans="1:2" x14ac:dyDescent="0.3">
      <c r="A26" s="3" t="s">
        <v>14</v>
      </c>
      <c r="B26" s="11">
        <f>B24*0.15</f>
        <v>34179.279996000005</v>
      </c>
    </row>
    <row r="27" spans="1:2" x14ac:dyDescent="0.3">
      <c r="A27" s="3" t="s">
        <v>15</v>
      </c>
      <c r="B27" s="11">
        <f>(B24-20000)*0.1</f>
        <v>20786.186664000004</v>
      </c>
    </row>
    <row r="28" spans="1:2" x14ac:dyDescent="0.3">
      <c r="A28" s="3"/>
      <c r="B28" s="11"/>
    </row>
    <row r="29" spans="1:2" x14ac:dyDescent="0.3">
      <c r="A29" s="7" t="s">
        <v>16</v>
      </c>
      <c r="B29" s="11">
        <f>SUM(B26:B27)</f>
        <v>54965.466660000006</v>
      </c>
    </row>
    <row r="30" spans="1:2" x14ac:dyDescent="0.3">
      <c r="A30" s="7"/>
      <c r="B30" s="11"/>
    </row>
    <row r="31" spans="1:2" x14ac:dyDescent="0.3">
      <c r="A31" s="3" t="s">
        <v>17</v>
      </c>
      <c r="B31" s="11">
        <v>0</v>
      </c>
    </row>
    <row r="32" spans="1:2" x14ac:dyDescent="0.3">
      <c r="A32" s="3" t="s">
        <v>18</v>
      </c>
      <c r="B32" s="11">
        <v>0</v>
      </c>
    </row>
    <row r="33" spans="1:2" x14ac:dyDescent="0.3">
      <c r="A33" s="3"/>
      <c r="B33" s="11"/>
    </row>
    <row r="34" spans="1:2" x14ac:dyDescent="0.3">
      <c r="A34" s="8"/>
      <c r="B34" s="11"/>
    </row>
    <row r="35" spans="1:2" ht="15" thickBot="1" x14ac:dyDescent="0.35">
      <c r="A35" s="10" t="s">
        <v>19</v>
      </c>
      <c r="B35" s="11">
        <f>SUM(B29+B31+B32)</f>
        <v>54965.466660000006</v>
      </c>
    </row>
    <row r="36" spans="1:2" ht="15" thickTop="1" x14ac:dyDescent="0.3">
      <c r="A36" s="9"/>
      <c r="B36" s="11"/>
    </row>
    <row r="37" spans="1:2" ht="15.6" x14ac:dyDescent="0.3">
      <c r="A37" s="2" t="s">
        <v>20</v>
      </c>
      <c r="B37" s="11"/>
    </row>
    <row r="38" spans="1:2" x14ac:dyDescent="0.3">
      <c r="A38" s="3"/>
      <c r="B38" s="11"/>
    </row>
    <row r="39" spans="1:2" x14ac:dyDescent="0.3">
      <c r="A39" s="6" t="s">
        <v>21</v>
      </c>
      <c r="B39" s="11">
        <f>(B6)*0.12</f>
        <v>312648</v>
      </c>
    </row>
    <row r="40" spans="1:2" x14ac:dyDescent="0.3">
      <c r="A40" s="6" t="s">
        <v>11</v>
      </c>
      <c r="B40" s="11">
        <f>B7*0.32</f>
        <v>1920</v>
      </c>
    </row>
    <row r="41" spans="1:2" x14ac:dyDescent="0.3">
      <c r="A41" s="6" t="s">
        <v>12</v>
      </c>
      <c r="B41" s="11">
        <f>SUM(B8:B12)</f>
        <v>0</v>
      </c>
    </row>
    <row r="42" spans="1:2" x14ac:dyDescent="0.3">
      <c r="A42" s="7"/>
      <c r="B42" s="11"/>
    </row>
    <row r="43" spans="1:2" x14ac:dyDescent="0.3">
      <c r="A43" s="7" t="s">
        <v>13</v>
      </c>
      <c r="B43" s="11">
        <f>SUM(B39:B41)</f>
        <v>314568</v>
      </c>
    </row>
    <row r="44" spans="1:2" x14ac:dyDescent="0.3">
      <c r="A44" s="7"/>
      <c r="B44" s="11"/>
    </row>
    <row r="45" spans="1:2" x14ac:dyDescent="0.3">
      <c r="A45" s="3" t="s">
        <v>22</v>
      </c>
      <c r="B45" s="11">
        <f>B43*0.09</f>
        <v>28311.119999999999</v>
      </c>
    </row>
    <row r="46" spans="1:2" x14ac:dyDescent="0.3">
      <c r="A46" s="7"/>
      <c r="B46" s="11"/>
    </row>
    <row r="47" spans="1:2" x14ac:dyDescent="0.3">
      <c r="A47" s="3" t="s">
        <v>23</v>
      </c>
      <c r="B47" s="11">
        <v>0</v>
      </c>
    </row>
    <row r="48" spans="1:2" x14ac:dyDescent="0.3">
      <c r="A48" s="3" t="s">
        <v>18</v>
      </c>
      <c r="B48" s="11">
        <v>0</v>
      </c>
    </row>
    <row r="49" spans="1:2" x14ac:dyDescent="0.3">
      <c r="A49" s="8"/>
      <c r="B49" s="11"/>
    </row>
    <row r="50" spans="1:2" ht="15" thickBot="1" x14ac:dyDescent="0.35">
      <c r="A50" s="10" t="s">
        <v>24</v>
      </c>
      <c r="B50" s="11">
        <f>B45+B47+B48</f>
        <v>28311.119999999999</v>
      </c>
    </row>
    <row r="51" spans="1:2" ht="15" thickTop="1" x14ac:dyDescent="0.3"/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Normal="100" workbookViewId="0">
      <selection activeCell="E17" sqref="E17"/>
    </sheetView>
  </sheetViews>
  <sheetFormatPr defaultRowHeight="14.4" x14ac:dyDescent="0.3"/>
  <cols>
    <col min="1" max="1" width="39.77734375" bestFit="1" customWidth="1"/>
    <col min="2" max="2" width="19.33203125" bestFit="1" customWidth="1"/>
    <col min="4" max="4" width="9.5546875" bestFit="1" customWidth="1"/>
    <col min="5" max="5" width="22.77734375" bestFit="1" customWidth="1"/>
    <col min="6" max="6" width="14.44140625" bestFit="1" customWidth="1"/>
  </cols>
  <sheetData>
    <row r="1" spans="1:7" x14ac:dyDescent="0.3">
      <c r="E1" t="s">
        <v>25</v>
      </c>
      <c r="F1" s="12">
        <v>5000000</v>
      </c>
    </row>
    <row r="2" spans="1:7" x14ac:dyDescent="0.3">
      <c r="A2" s="15" t="s">
        <v>26</v>
      </c>
      <c r="B2" s="15"/>
      <c r="E2" t="s">
        <v>26</v>
      </c>
      <c r="F2" s="12">
        <f>F1/4</f>
        <v>1250000</v>
      </c>
    </row>
    <row r="3" spans="1:7" x14ac:dyDescent="0.3">
      <c r="A3" s="1"/>
    </row>
    <row r="4" spans="1:7" ht="15.6" x14ac:dyDescent="0.3">
      <c r="A4" s="2" t="s">
        <v>0</v>
      </c>
      <c r="E4" t="s">
        <v>31</v>
      </c>
    </row>
    <row r="5" spans="1:7" x14ac:dyDescent="0.3">
      <c r="A5" s="3"/>
      <c r="B5" s="13">
        <f>SUM(B6:B7)</f>
        <v>8767880</v>
      </c>
      <c r="E5" t="s">
        <v>32</v>
      </c>
    </row>
    <row r="6" spans="1:7" x14ac:dyDescent="0.3">
      <c r="A6" s="3" t="s">
        <v>1</v>
      </c>
      <c r="B6" s="11">
        <v>8749880</v>
      </c>
      <c r="C6" s="14">
        <f>B6/$B$5</f>
        <v>0.99794705219505742</v>
      </c>
    </row>
    <row r="7" spans="1:7" x14ac:dyDescent="0.3">
      <c r="A7" s="3" t="s">
        <v>2</v>
      </c>
      <c r="B7" s="11">
        <v>18000</v>
      </c>
      <c r="C7" s="14">
        <f>B7/$B$5</f>
        <v>2.052947804942586E-3</v>
      </c>
      <c r="D7" s="13"/>
      <c r="E7" s="17" t="s">
        <v>34</v>
      </c>
      <c r="F7" s="17"/>
      <c r="G7" s="17"/>
    </row>
    <row r="8" spans="1:7" x14ac:dyDescent="0.3">
      <c r="A8" s="3" t="s">
        <v>3</v>
      </c>
      <c r="B8" s="11">
        <f>SUM(E9:G9)</f>
        <v>247.83</v>
      </c>
      <c r="E8">
        <v>1</v>
      </c>
      <c r="F8">
        <v>2</v>
      </c>
      <c r="G8">
        <v>3</v>
      </c>
    </row>
    <row r="9" spans="1:7" x14ac:dyDescent="0.3">
      <c r="A9" s="3" t="s">
        <v>4</v>
      </c>
      <c r="B9" s="11"/>
      <c r="D9" t="s">
        <v>35</v>
      </c>
      <c r="E9" s="16">
        <v>31.27</v>
      </c>
      <c r="F9" s="16">
        <v>157.53</v>
      </c>
      <c r="G9" s="16">
        <v>59.03</v>
      </c>
    </row>
    <row r="10" spans="1:7" x14ac:dyDescent="0.3">
      <c r="A10" s="3" t="s">
        <v>5</v>
      </c>
      <c r="B10" s="11">
        <v>0</v>
      </c>
      <c r="D10" t="s">
        <v>36</v>
      </c>
      <c r="E10">
        <v>6.97</v>
      </c>
      <c r="F10">
        <v>35.36</v>
      </c>
      <c r="G10">
        <v>13.14</v>
      </c>
    </row>
    <row r="11" spans="1:7" x14ac:dyDescent="0.3">
      <c r="A11" s="3" t="s">
        <v>6</v>
      </c>
      <c r="B11" s="11">
        <v>0</v>
      </c>
    </row>
    <row r="12" spans="1:7" x14ac:dyDescent="0.3">
      <c r="A12" s="3" t="s">
        <v>7</v>
      </c>
      <c r="B12" s="11"/>
    </row>
    <row r="13" spans="1:7" x14ac:dyDescent="0.3">
      <c r="A13" s="4"/>
      <c r="B13" s="11"/>
    </row>
    <row r="14" spans="1:7" x14ac:dyDescent="0.3">
      <c r="A14" s="5" t="s">
        <v>8</v>
      </c>
      <c r="B14" s="11">
        <f>SUM(B6:B13)</f>
        <v>8768127.8300000001</v>
      </c>
    </row>
    <row r="15" spans="1:7" x14ac:dyDescent="0.3">
      <c r="A15" s="3"/>
      <c r="B15" s="11"/>
    </row>
    <row r="16" spans="1:7" ht="15.6" x14ac:dyDescent="0.3">
      <c r="A16" s="2" t="s">
        <v>9</v>
      </c>
      <c r="B16" s="11"/>
    </row>
    <row r="17" spans="1:2" x14ac:dyDescent="0.3">
      <c r="A17" s="3"/>
      <c r="B17" s="11"/>
    </row>
    <row r="18" spans="1:2" x14ac:dyDescent="0.3">
      <c r="A18" s="6" t="s">
        <v>10</v>
      </c>
      <c r="B18" s="11">
        <f>IF($B$6&lt;=1250000,$B$6*0.08,((1250000*$C$6)*0.08))</f>
        <v>99794.705219505748</v>
      </c>
    </row>
    <row r="19" spans="1:2" x14ac:dyDescent="0.3">
      <c r="A19" s="6" t="s">
        <v>27</v>
      </c>
      <c r="B19" s="11">
        <f>IF($B$6&gt;1250000,($B$6-(1250000*$C$6))*0.088,0)</f>
        <v>660215.26425854361</v>
      </c>
    </row>
    <row r="20" spans="1:2" x14ac:dyDescent="0.3">
      <c r="A20" s="6" t="s">
        <v>11</v>
      </c>
      <c r="B20" s="11">
        <f>IF($B$7+$B$6&lt;=1250000,$B$7*0.32,((1250000*$C$7)*0.32))</f>
        <v>821.17912197703436</v>
      </c>
    </row>
    <row r="21" spans="1:2" x14ac:dyDescent="0.3">
      <c r="A21" s="6" t="s">
        <v>28</v>
      </c>
      <c r="B21" s="11">
        <f>IF($B$7+$B$6&gt;1250000,($B$7-(1250000*$C$7))*0.352,0)</f>
        <v>5432.7029658252623</v>
      </c>
    </row>
    <row r="22" spans="1:2" x14ac:dyDescent="0.3">
      <c r="A22" s="6" t="s">
        <v>12</v>
      </c>
      <c r="B22" s="11">
        <f>SUM(B8:B12)</f>
        <v>247.83</v>
      </c>
    </row>
    <row r="23" spans="1:2" x14ac:dyDescent="0.3">
      <c r="A23" s="7"/>
      <c r="B23" s="11"/>
    </row>
    <row r="24" spans="1:2" x14ac:dyDescent="0.3">
      <c r="A24" s="7" t="s">
        <v>13</v>
      </c>
      <c r="B24" s="11">
        <f>SUM(B18:B22)</f>
        <v>766511.68156585156</v>
      </c>
    </row>
    <row r="25" spans="1:2" x14ac:dyDescent="0.3">
      <c r="A25" s="7"/>
      <c r="B25" s="11"/>
    </row>
    <row r="26" spans="1:2" x14ac:dyDescent="0.3">
      <c r="A26" s="3" t="s">
        <v>14</v>
      </c>
      <c r="B26" s="11">
        <f>B24*0.15</f>
        <v>114976.75223487773</v>
      </c>
    </row>
    <row r="27" spans="1:2" x14ac:dyDescent="0.3">
      <c r="A27" s="3" t="s">
        <v>15</v>
      </c>
      <c r="B27" s="11">
        <f>(B24-60000)*0.1</f>
        <v>70651.168156585161</v>
      </c>
    </row>
    <row r="28" spans="1:2" x14ac:dyDescent="0.3">
      <c r="A28" s="3"/>
      <c r="B28" s="11"/>
    </row>
    <row r="29" spans="1:2" x14ac:dyDescent="0.3">
      <c r="A29" s="7" t="s">
        <v>16</v>
      </c>
      <c r="B29" s="11">
        <f>SUM(B26:B27)</f>
        <v>185627.92039146289</v>
      </c>
    </row>
    <row r="30" spans="1:2" x14ac:dyDescent="0.3">
      <c r="A30" s="7"/>
      <c r="B30" s="11"/>
    </row>
    <row r="31" spans="1:2" x14ac:dyDescent="0.3">
      <c r="A31" s="3" t="s">
        <v>17</v>
      </c>
      <c r="B31" s="11">
        <f>SUM(E10:G10)</f>
        <v>55.47</v>
      </c>
    </row>
    <row r="32" spans="1:2" x14ac:dyDescent="0.3">
      <c r="A32" s="3" t="s">
        <v>18</v>
      </c>
      <c r="B32" s="11">
        <v>0</v>
      </c>
    </row>
    <row r="33" spans="1:5" x14ac:dyDescent="0.3">
      <c r="A33" s="3"/>
      <c r="B33" s="11"/>
    </row>
    <row r="34" spans="1:5" x14ac:dyDescent="0.3">
      <c r="A34" s="8"/>
      <c r="B34" s="11"/>
    </row>
    <row r="35" spans="1:5" ht="15" thickBot="1" x14ac:dyDescent="0.35">
      <c r="A35" s="10" t="s">
        <v>19</v>
      </c>
      <c r="B35" s="11">
        <f>SUM(B29+B31+B32)</f>
        <v>185683.39039146289</v>
      </c>
      <c r="E35" t="s">
        <v>30</v>
      </c>
    </row>
    <row r="36" spans="1:5" ht="15" thickTop="1" x14ac:dyDescent="0.3">
      <c r="A36" s="9"/>
      <c r="B36" s="11"/>
    </row>
    <row r="37" spans="1:5" ht="15.6" x14ac:dyDescent="0.3">
      <c r="A37" s="2" t="s">
        <v>20</v>
      </c>
      <c r="B37" s="11"/>
    </row>
    <row r="38" spans="1:5" x14ac:dyDescent="0.3">
      <c r="A38" s="3"/>
      <c r="B38" s="11"/>
    </row>
    <row r="39" spans="1:5" x14ac:dyDescent="0.3">
      <c r="A39" s="6" t="s">
        <v>21</v>
      </c>
      <c r="B39" s="11">
        <f>IF($B$6&lt;=1250000,$B$6*0.12,((1250000*$C$6)*0.12))</f>
        <v>149692.05782925861</v>
      </c>
    </row>
    <row r="40" spans="1:5" x14ac:dyDescent="0.3">
      <c r="A40" s="6" t="s">
        <v>33</v>
      </c>
      <c r="B40" s="11">
        <f>IF($B$6&gt;1250000,($B$6-(1250000*$C$6))*0.132,0)</f>
        <v>990322.89638781559</v>
      </c>
    </row>
    <row r="41" spans="1:5" x14ac:dyDescent="0.3">
      <c r="A41" s="6" t="s">
        <v>11</v>
      </c>
      <c r="B41" s="11">
        <f>IF($B$7+$B$6&lt;=1250000,$B$7*0.32,((1250000*$C$7)*0.32))</f>
        <v>821.17912197703436</v>
      </c>
    </row>
    <row r="42" spans="1:5" x14ac:dyDescent="0.3">
      <c r="A42" s="6" t="s">
        <v>28</v>
      </c>
      <c r="B42" s="11">
        <f>IF($B$7+$B$6&gt;1250000,($B$7-(1250000*$C$7))*0.352,0)</f>
        <v>5432.7029658252623</v>
      </c>
    </row>
    <row r="43" spans="1:5" x14ac:dyDescent="0.3">
      <c r="A43" s="6" t="s">
        <v>12</v>
      </c>
      <c r="B43" s="11">
        <f>SUM(B8:B12)</f>
        <v>247.83</v>
      </c>
    </row>
    <row r="44" spans="1:5" x14ac:dyDescent="0.3">
      <c r="A44" s="7"/>
      <c r="B44" s="11"/>
    </row>
    <row r="45" spans="1:5" x14ac:dyDescent="0.3">
      <c r="A45" s="7" t="s">
        <v>13</v>
      </c>
      <c r="B45" s="11">
        <f>SUM(B39:B43)</f>
        <v>1146516.6663048766</v>
      </c>
    </row>
    <row r="46" spans="1:5" x14ac:dyDescent="0.3">
      <c r="A46" s="7"/>
      <c r="B46" s="11"/>
    </row>
    <row r="47" spans="1:5" x14ac:dyDescent="0.3">
      <c r="A47" s="3" t="s">
        <v>22</v>
      </c>
      <c r="B47" s="11">
        <f>B45*0.09</f>
        <v>103186.49996743888</v>
      </c>
    </row>
    <row r="48" spans="1:5" x14ac:dyDescent="0.3">
      <c r="A48" s="7"/>
      <c r="B48" s="11"/>
    </row>
    <row r="49" spans="1:2" x14ac:dyDescent="0.3">
      <c r="A49" s="3" t="s">
        <v>23</v>
      </c>
      <c r="B49" s="11">
        <v>0</v>
      </c>
    </row>
    <row r="50" spans="1:2" x14ac:dyDescent="0.3">
      <c r="A50" s="3" t="s">
        <v>18</v>
      </c>
      <c r="B50" s="11">
        <v>0</v>
      </c>
    </row>
    <row r="51" spans="1:2" x14ac:dyDescent="0.3">
      <c r="A51" s="8"/>
      <c r="B51" s="11"/>
    </row>
    <row r="52" spans="1:2" ht="15" thickBot="1" x14ac:dyDescent="0.35">
      <c r="A52" s="10" t="s">
        <v>24</v>
      </c>
      <c r="B52" s="11">
        <f>B47+B49+B50</f>
        <v>103186.49996743888</v>
      </c>
    </row>
    <row r="53" spans="1:2" ht="15" thickTop="1" x14ac:dyDescent="0.3"/>
  </sheetData>
  <mergeCells count="2">
    <mergeCell ref="A2:B2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MENSAL</vt:lpstr>
      <vt:lpstr>TRIMESTRAL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AGF Equipamentos</dc:creator>
  <cp:lastModifiedBy>Danilo Machado</cp:lastModifiedBy>
  <dcterms:created xsi:type="dcterms:W3CDTF">2015-06-05T18:17:20Z</dcterms:created>
  <dcterms:modified xsi:type="dcterms:W3CDTF">2026-07-31T12:03:10Z</dcterms:modified>
</cp:coreProperties>
</file>